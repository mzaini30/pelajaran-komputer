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pivotTables/pivotTable2.xml" ContentType="application/vnd.openxmlformats-officedocument.spreadsheetml.pivot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G:\My Drive\PELAJARAN\Komputer\backup\Baru\"/>
    </mc:Choice>
  </mc:AlternateContent>
  <xr:revisionPtr revIDLastSave="0" documentId="13_ncr:1_{2B1ADE63-0C27-4AC6-BADC-D27E8CBE0B2E}" xr6:coauthVersionLast="47" xr6:coauthVersionMax="47" xr10:uidLastSave="{00000000-0000-0000-0000-000000000000}"/>
  <bookViews>
    <workbookView xWindow="-120" yWindow="-120" windowWidth="29040" windowHeight="15720" tabRatio="920" activeTab="14" xr2:uid="{00000000-000D-0000-FFFF-FFFF00000000}"/>
  </bookViews>
  <sheets>
    <sheet name="umur" sheetId="4" r:id="rId1"/>
    <sheet name="jatuh tempo" sheetId="5" r:id="rId2"/>
    <sheet name="laporan penjualan" sheetId="6" r:id="rId3"/>
    <sheet name="vlookup" sheetId="7" r:id="rId4"/>
    <sheet name="pivot table" sheetId="8" r:id="rId5"/>
    <sheet name="textjoin" sheetId="10" r:id="rId6"/>
    <sheet name="penjumlahan" sheetId="11" r:id="rId7"/>
    <sheet name="hari" sheetId="12" r:id="rId8"/>
    <sheet name="gabung nama" sheetId="13" r:id="rId9"/>
    <sheet name="memisahkan judul film" sheetId="14" r:id="rId10"/>
    <sheet name="belanja" sheetId="15" r:id="rId11"/>
    <sheet name="ranking" sheetId="16" r:id="rId12"/>
    <sheet name="tempat tanggal lahir" sheetId="17" r:id="rId13"/>
    <sheet name="nama tengah" sheetId="19" r:id="rId14"/>
    <sheet name="gabung" sheetId="21" r:id="rId15"/>
  </sheets>
  <definedNames>
    <definedName name="_xlnm.Print_Area" localSheetId="14">gabung!$A$1:$E$207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21" l="1"/>
  <c r="C182" i="21"/>
  <c r="B121" i="21"/>
  <c r="A109" i="21"/>
  <c r="A110" i="21" s="1"/>
  <c r="A111" i="21" s="1"/>
  <c r="A112" i="21" s="1"/>
  <c r="E108" i="21"/>
  <c r="E92" i="21"/>
  <c r="B41" i="21"/>
  <c r="E38" i="21"/>
  <c r="D21" i="21"/>
  <c r="C4" i="21"/>
  <c r="C4" i="4"/>
  <c r="C4" i="16"/>
  <c r="B4" i="12"/>
  <c r="A5" i="11"/>
  <c r="A6" i="11" s="1"/>
  <c r="A7" i="11" s="1"/>
  <c r="A8" i="11" s="1"/>
  <c r="E4" i="11"/>
  <c r="E4" i="10"/>
  <c r="C16" i="7"/>
  <c r="B7" i="6"/>
  <c r="E4" i="6"/>
  <c r="D4" i="5"/>
</calcChain>
</file>

<file path=xl/sharedStrings.xml><?xml version="1.0" encoding="utf-8"?>
<sst xmlns="http://schemas.openxmlformats.org/spreadsheetml/2006/main" count="585" uniqueCount="215">
  <si>
    <t>Nama</t>
  </si>
  <si>
    <t>Tanggal Lahir</t>
  </si>
  <si>
    <t>Umur</t>
  </si>
  <si>
    <t>Rudi</t>
  </si>
  <si>
    <t>Umar</t>
  </si>
  <si>
    <t>Siti</t>
  </si>
  <si>
    <t>Budi</t>
  </si>
  <si>
    <t>Ani</t>
  </si>
  <si>
    <t>Dedi</t>
  </si>
  <si>
    <t>Fajar</t>
  </si>
  <si>
    <t>Tika</t>
  </si>
  <si>
    <t>Maya</t>
  </si>
  <si>
    <t>Lani</t>
  </si>
  <si>
    <t>Nominal</t>
  </si>
  <si>
    <t>Tanggal Jatuh Tempo</t>
  </si>
  <si>
    <t>Jatuh Tempo</t>
  </si>
  <si>
    <t>Nanda</t>
  </si>
  <si>
    <t>Nama Barang</t>
  </si>
  <si>
    <t>Januari</t>
  </si>
  <si>
    <t>Februari</t>
  </si>
  <si>
    <t>Maret</t>
  </si>
  <si>
    <t>Total</t>
  </si>
  <si>
    <t>Songkok</t>
  </si>
  <si>
    <t>Baju</t>
  </si>
  <si>
    <t>Tasbih</t>
  </si>
  <si>
    <t>Total per Bulan</t>
  </si>
  <si>
    <t>Nama Panggilan</t>
  </si>
  <si>
    <t>Nama Lengkap</t>
  </si>
  <si>
    <t>Tanggal</t>
  </si>
  <si>
    <t>Pelanggaran</t>
  </si>
  <si>
    <t>Yoko</t>
  </si>
  <si>
    <t>Nur Khairiah</t>
  </si>
  <si>
    <t>12 tahun</t>
  </si>
  <si>
    <t>Keluar Asrama</t>
  </si>
  <si>
    <t>Mia</t>
  </si>
  <si>
    <t>Mia Satriani</t>
  </si>
  <si>
    <t>Dodi</t>
  </si>
  <si>
    <t>Beli es teh</t>
  </si>
  <si>
    <t>Rudi Santoso</t>
  </si>
  <si>
    <t>Beni</t>
  </si>
  <si>
    <t>Ambil uang tanpa izin</t>
  </si>
  <si>
    <t>Tia</t>
  </si>
  <si>
    <t>Tia Ardiani</t>
  </si>
  <si>
    <t>Beni Pratama</t>
  </si>
  <si>
    <t>Lia</t>
  </si>
  <si>
    <t>Lia Suryani</t>
  </si>
  <si>
    <t>Andi</t>
  </si>
  <si>
    <t>Andi Wirawan</t>
  </si>
  <si>
    <t>Sari</t>
  </si>
  <si>
    <t>Sari Indah</t>
  </si>
  <si>
    <t>Dodi Mulyadi</t>
  </si>
  <si>
    <t>Rina</t>
  </si>
  <si>
    <t>Rina Susanti</t>
  </si>
  <si>
    <t>Sum of Keuntungan</t>
  </si>
  <si>
    <t>Grand Total</t>
  </si>
  <si>
    <t>Habbatussauda</t>
  </si>
  <si>
    <t>Peci</t>
  </si>
  <si>
    <t>Siwak</t>
  </si>
  <si>
    <t>Bulan</t>
  </si>
  <si>
    <t>Jenis Barang</t>
  </si>
  <si>
    <t>Keuntungan</t>
  </si>
  <si>
    <t>Alamat</t>
  </si>
  <si>
    <t>Kelas</t>
  </si>
  <si>
    <t>Bulan Diterima</t>
  </si>
  <si>
    <t>ID</t>
  </si>
  <si>
    <t>SMD</t>
  </si>
  <si>
    <t>IV</t>
  </si>
  <si>
    <t>JAN</t>
  </si>
  <si>
    <t>Yaya</t>
  </si>
  <si>
    <t>BPN</t>
  </si>
  <si>
    <t>I</t>
  </si>
  <si>
    <t>MAR</t>
  </si>
  <si>
    <t>JKT</t>
  </si>
  <si>
    <t>II</t>
  </si>
  <si>
    <t>FEB</t>
  </si>
  <si>
    <t>BDG</t>
  </si>
  <si>
    <t>III</t>
  </si>
  <si>
    <t>APR</t>
  </si>
  <si>
    <t>MLG</t>
  </si>
  <si>
    <t>MEI</t>
  </si>
  <si>
    <t>SBY</t>
  </si>
  <si>
    <t>V</t>
  </si>
  <si>
    <t>JUN</t>
  </si>
  <si>
    <t>SMG</t>
  </si>
  <si>
    <t>VI</t>
  </si>
  <si>
    <t>JUL</t>
  </si>
  <si>
    <t>DIY</t>
  </si>
  <si>
    <t>VII</t>
  </si>
  <si>
    <t>AGU</t>
  </si>
  <si>
    <t>SMR</t>
  </si>
  <si>
    <t>VIII</t>
  </si>
  <si>
    <t>SEP</t>
  </si>
  <si>
    <t>JOG</t>
  </si>
  <si>
    <t>IX</t>
  </si>
  <si>
    <t>OKT</t>
  </si>
  <si>
    <t>Nomor</t>
  </si>
  <si>
    <t>Jumlah</t>
  </si>
  <si>
    <t>Harga Satuan</t>
  </si>
  <si>
    <t>Jumlah Harga</t>
  </si>
  <si>
    <t>Beras</t>
  </si>
  <si>
    <t>Air Mineral</t>
  </si>
  <si>
    <t>Gula</t>
  </si>
  <si>
    <t>Minyak Goreng</t>
  </si>
  <si>
    <t>Garam</t>
  </si>
  <si>
    <t>Hari</t>
  </si>
  <si>
    <t>Nama Depan</t>
  </si>
  <si>
    <t>Nama Belakang</t>
  </si>
  <si>
    <t>Muhammad</t>
  </si>
  <si>
    <t>Muhammad Budi</t>
  </si>
  <si>
    <t>Rio</t>
  </si>
  <si>
    <t>Satria</t>
  </si>
  <si>
    <t>Lestari</t>
  </si>
  <si>
    <t>Santoso</t>
  </si>
  <si>
    <t>Nurhayati</t>
  </si>
  <si>
    <t>Wijaya</t>
  </si>
  <si>
    <t>Pratama</t>
  </si>
  <si>
    <t>Fitriani</t>
  </si>
  <si>
    <t>Mulyadi</t>
  </si>
  <si>
    <t>Judul Film</t>
  </si>
  <si>
    <t>Judulnya Aja</t>
  </si>
  <si>
    <t>Tahun</t>
  </si>
  <si>
    <t>Mengenang (2014)</t>
  </si>
  <si>
    <t>Mengenang</t>
  </si>
  <si>
    <t>Percaya (2023)</t>
  </si>
  <si>
    <t>Cinta Abadi (2016)</t>
  </si>
  <si>
    <t>Harapan Baru (2021)</t>
  </si>
  <si>
    <t>Cahaya Purnama (2018)</t>
  </si>
  <si>
    <t>Langit Biru (2020)</t>
  </si>
  <si>
    <t>Kenangan Manis (2015)</t>
  </si>
  <si>
    <t>Rindu yang Hilang (2019)</t>
  </si>
  <si>
    <t>Senja di Ujung Jalan (2022)</t>
  </si>
  <si>
    <t>Kisah Tanpa Akhir (2017)</t>
  </si>
  <si>
    <t>Barang</t>
  </si>
  <si>
    <t>Banyaknya</t>
  </si>
  <si>
    <t>Tahu</t>
  </si>
  <si>
    <t>Tempe</t>
  </si>
  <si>
    <t>Kedelai</t>
  </si>
  <si>
    <t>Kacang</t>
  </si>
  <si>
    <t>Kelapa</t>
  </si>
  <si>
    <t>Nilai</t>
  </si>
  <si>
    <t>Ranking</t>
  </si>
  <si>
    <t>Lisa</t>
  </si>
  <si>
    <t>Wendi</t>
  </si>
  <si>
    <t>Aira</t>
  </si>
  <si>
    <t>Maryam</t>
  </si>
  <si>
    <t>Tempat</t>
  </si>
  <si>
    <t>Tempat Tanggal Lahir</t>
  </si>
  <si>
    <t>Samarinda</t>
  </si>
  <si>
    <t>Samarinda, 12 September 2022</t>
  </si>
  <si>
    <t>Tenggarong</t>
  </si>
  <si>
    <t>Balikpapan</t>
  </si>
  <si>
    <t>Nama Tengah</t>
  </si>
  <si>
    <t>Rudi Satria Wahono</t>
  </si>
  <si>
    <t>Alex Palew Shino</t>
  </si>
  <si>
    <t>Yuli Ayu Suci</t>
  </si>
  <si>
    <t>Kurapika Gon Yoshiyo</t>
  </si>
  <si>
    <t>2000-01-12</t>
  </si>
  <si>
    <t>1985-04-05</t>
  </si>
  <si>
    <t>1992-11-23</t>
  </si>
  <si>
    <t>1998-06-17</t>
  </si>
  <si>
    <t>1987-02-10</t>
  </si>
  <si>
    <t>1995-09-22</t>
  </si>
  <si>
    <t>2001-12-08</t>
  </si>
  <si>
    <t>1993-03-30</t>
  </si>
  <si>
    <t>1989-07-15</t>
  </si>
  <si>
    <t xml:space="preserve">2020-06-12  </t>
  </si>
  <si>
    <t xml:space="preserve">2023-05-15  </t>
  </si>
  <si>
    <t xml:space="preserve">2024-12-01  </t>
  </si>
  <si>
    <t xml:space="preserve">2022-10-20  </t>
  </si>
  <si>
    <t xml:space="preserve">2021-07-30  </t>
  </si>
  <si>
    <t xml:space="preserve">2023-03-11  </t>
  </si>
  <si>
    <t xml:space="preserve">2024-09-22  </t>
  </si>
  <si>
    <t xml:space="preserve">2023-11-05  </t>
  </si>
  <si>
    <t xml:space="preserve">2022-01-19  </t>
  </si>
  <si>
    <t>=DAYS(C2,TODAY())</t>
  </si>
  <si>
    <t>LATIHAN 1</t>
  </si>
  <si>
    <t>LATIHAN 2</t>
  </si>
  <si>
    <t>Conditional Formatting &gt; Highlight Cell Rules &gt; Less Than &gt; 0</t>
  </si>
  <si>
    <t>LATIHAN 3</t>
  </si>
  <si>
    <t>Alt =</t>
  </si>
  <si>
    <t>LATIHAN 4</t>
  </si>
  <si>
    <t>=DATEDIF(B2,TODAY(),"y")</t>
  </si>
  <si>
    <t>General "tahun"</t>
  </si>
  <si>
    <t>=VLOOKUP(B16,$A$3:$C$13,2,FALSE)</t>
  </si>
  <si>
    <t xml:space="preserve">2022-09-13  </t>
  </si>
  <si>
    <t xml:space="preserve">2023-10-15  </t>
  </si>
  <si>
    <t>LATIHAN 5</t>
  </si>
  <si>
    <t>Insert &gt; Pivot Table</t>
  </si>
  <si>
    <t>LATIHAN 6</t>
  </si>
  <si>
    <t>=TEXTJOIN("-",TRUE,B4:D4)</t>
  </si>
  <si>
    <t>LATIHAN 7</t>
  </si>
  <si>
    <t>=C4*D4</t>
  </si>
  <si>
    <t>LATIHAN 9</t>
  </si>
  <si>
    <t>LATIHAN 8</t>
  </si>
  <si>
    <t>=TEXT(A4,"dddd")</t>
  </si>
  <si>
    <t xml:space="preserve">2020-12-31  </t>
  </si>
  <si>
    <t xml:space="preserve">2023-01-15  </t>
  </si>
  <si>
    <t xml:space="preserve">2021-07-10  </t>
  </si>
  <si>
    <t xml:space="preserve">2022-09-23  </t>
  </si>
  <si>
    <t xml:space="preserve">2025-05-05  </t>
  </si>
  <si>
    <t xml:space="preserve">2020-11-18  </t>
  </si>
  <si>
    <t xml:space="preserve">2024-02-29  </t>
  </si>
  <si>
    <t xml:space="preserve">2023-08-17  </t>
  </si>
  <si>
    <t xml:space="preserve">2022-06-01  </t>
  </si>
  <si>
    <t>Ctrl e</t>
  </si>
  <si>
    <t>LATIHAN 10</t>
  </si>
  <si>
    <t>General "biji"</t>
  </si>
  <si>
    <t>LATIHAN 11</t>
  </si>
  <si>
    <t>LATIHAN 12</t>
  </si>
  <si>
    <t>=RANK(B4,$B$4:$B$8,0)</t>
  </si>
  <si>
    <t>LATIHAN 13</t>
  </si>
  <si>
    <t xml:space="preserve">2002-01-01  </t>
  </si>
  <si>
    <t xml:space="preserve">2023-12-17  </t>
  </si>
  <si>
    <t>LATIHAN 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</si>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</sst>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Rp&quot;* #,##0_-;\-&quot;Rp&quot;* #,##0_-;_-&quot;Rp&quot;* &quot;-&quot;_-;_-@_-"/>
    <numFmt numFmtId="165" formatCode="[$-421]dd\ mmmm\ yyyy;@"/>
    <numFmt numFmtId="166" formatCode="@\ * &quot;:&quot;"/>
    <numFmt numFmtId="167" formatCode="General\ &quot;biji&quot;"/>
    <numFmt numFmtId="168" formatCode="[$-421]dddd\,\ dd\ mmmm\ yyyy;@"/>
    <numFmt numFmtId="169" formatCode="[$-421]dddd&quot;, &quot;dd\ mmmm\ yyyy"/>
    <numFmt numFmtId="170" formatCode="_-&quot;Rp&quot;* #,##0_-;\-&quot;Rp&quot;* #,##0_-;_-&quot;Rp&quot;* &quot;-&quot;??_-;_-@_-"/>
    <numFmt numFmtId="171" formatCode="_-[$Rp-421]* #,##0_-;\-[$Rp-421]* #,##0_-;_-[$Rp-421]* &quot;-&quot;_-;_-@_-"/>
    <numFmt numFmtId="172" formatCode="General\ &quot;tahun&quot;"/>
  </numFmts>
  <fonts count="8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"/>
      <scheme val="minor"/>
    </font>
    <font>
      <b/>
      <i/>
      <strike/>
      <u/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169" fontId="0" fillId="0" borderId="0" xfId="0" applyNumberFormat="1"/>
    <xf numFmtId="168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6" fontId="0" fillId="0" borderId="0" xfId="0" applyNumberFormat="1" applyAlignment="1">
      <alignment horizontal="left"/>
    </xf>
    <xf numFmtId="165" fontId="0" fillId="0" borderId="0" xfId="0" applyNumberFormat="1"/>
    <xf numFmtId="170" fontId="0" fillId="0" borderId="0" xfId="0" applyNumberFormat="1"/>
    <xf numFmtId="0" fontId="2" fillId="0" borderId="0" xfId="0" applyFont="1"/>
    <xf numFmtId="169" fontId="0" fillId="0" borderId="0" xfId="0" applyNumberFormat="1" applyAlignment="1">
      <alignment horizontal="left"/>
    </xf>
    <xf numFmtId="0" fontId="3" fillId="0" borderId="0" xfId="0" applyFont="1"/>
    <xf numFmtId="17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  <xf numFmtId="169" fontId="0" fillId="0" borderId="0" xfId="0" applyNumberFormat="1" applyAlignment="1">
      <alignment horizontal="left" wrapText="1"/>
    </xf>
    <xf numFmtId="0" fontId="1" fillId="0" borderId="0" xfId="0" quotePrefix="1" applyFont="1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wrapText="1"/>
    </xf>
    <xf numFmtId="172" fontId="0" fillId="0" borderId="0" xfId="0" applyNumberFormat="1"/>
    <xf numFmtId="14" fontId="1" fillId="0" borderId="0" xfId="0" quotePrefix="1" applyNumberFormat="1" applyFo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9" fontId="7" fillId="0" borderId="0" xfId="0" applyNumberFormat="1" applyFont="1" applyAlignment="1">
      <alignment horizontal="left"/>
    </xf>
    <xf numFmtId="172" fontId="7" fillId="0" borderId="0" xfId="0" applyNumberFormat="1" applyFont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wrapText="1"/>
    </xf>
    <xf numFmtId="49" fontId="7" fillId="0" borderId="0" xfId="0" applyNumberFormat="1" applyFont="1" applyAlignment="1">
      <alignment horizontal="left" wrapText="1"/>
    </xf>
    <xf numFmtId="0" fontId="7" fillId="0" borderId="0" xfId="0" quotePrefix="1" applyFont="1"/>
    <xf numFmtId="171" fontId="7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horizontal="left"/>
    </xf>
    <xf numFmtId="170" fontId="7" fillId="0" borderId="0" xfId="0" applyNumberFormat="1" applyFont="1"/>
    <xf numFmtId="0" fontId="6" fillId="0" borderId="0" xfId="0" applyFont="1"/>
    <xf numFmtId="0" fontId="7" fillId="0" borderId="0" xfId="0" quotePrefix="1" applyFont="1" applyAlignment="1">
      <alignment horizontal="left"/>
    </xf>
    <xf numFmtId="0" fontId="7" fillId="0" borderId="0" xfId="0" pivotButton="1" applyFont="1"/>
    <xf numFmtId="165" fontId="7" fillId="0" borderId="0" xfId="0" applyNumberFormat="1" applyFont="1"/>
    <xf numFmtId="14" fontId="7" fillId="0" borderId="0" xfId="0" quotePrefix="1" applyNumberFormat="1" applyFont="1"/>
    <xf numFmtId="167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166" fontId="7" fillId="0" borderId="0" xfId="0" applyNumberFormat="1" applyFont="1" applyAlignment="1">
      <alignment horizontal="left"/>
    </xf>
    <xf numFmtId="169" fontId="7" fillId="0" borderId="0" xfId="0" applyNumberFormat="1" applyFont="1"/>
  </cellXfs>
  <cellStyles count="1">
    <cellStyle name="Normal" xfId="0" builtinId="0"/>
  </cellStyles>
  <dxfs count="144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[$-421]dddd&quot;, &quot;dd\ mmmm\ 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General\ &quot;biji&quot;"/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-421]dd\ mmmm\ yyyy;@"/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-&quot;Rp&quot;* #,##0_-;\-&quot;Rp&quot;* #,##0_-;_-&quot;Rp&quot;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[$-421]dddd&quot;, &quot;dd\ mmmm\ yyyy"/>
      <alignment horizontal="left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-&quot;Rp&quot;* #,##0_-;\-&quot;Rp&quot;* #,##0_-;_-&quot;Rp&quot;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-&quot;Rp&quot;* #,##0_-;\-&quot;Rp&quot;* #,##0_-;_-&quot;Rp&quot;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-&quot;Rp&quot;* #,##0_-;\-&quot;Rp&quot;* #,##0_-;_-&quot;Rp&quot;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_-&quot;Rp&quot;* #,##0_-;\-&quot;Rp&quot;* #,##0_-;_-&quot;Rp&quot;* &quot;-&quot;??_-;_-@_-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[$-421]dddd&quot;, &quot;dd\ mmmm\ yyyy"/>
      <alignment horizontal="left"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&quot;Rp&quot;* #,##0_-;\-&quot;Rp&quot;* #,##0_-;_-&quot;Rp&quot;* &quot;-&quot;_-;_-@_-"/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[$-421]dddd&quot;, &quot;dd\ mmmm\ yyyy"/>
      <alignment horizontal="left" wrapText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wrapText="1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0" formatCode="_-&quot;Rp&quot;* #,##0_-;\-&quot;Rp&quot;* #,##0_-;_-&quot;Rp&quot;* &quot;-&quot;??_-;_-@_-"/>
    </dxf>
    <dxf>
      <numFmt numFmtId="0" formatCode="General"/>
    </dxf>
    <dxf>
      <numFmt numFmtId="0" formatCode="General"/>
    </dxf>
    <dxf>
      <numFmt numFmtId="169" formatCode="[$-421]dddd&quot;, &quot;dd\ mmmm\ yyyy"/>
    </dxf>
    <dxf>
      <numFmt numFmtId="167" formatCode="General\ &quot;biji&quot;"/>
      <alignment horizontal="center"/>
    </dxf>
    <dxf>
      <alignment wrapText="1"/>
    </dxf>
    <dxf>
      <numFmt numFmtId="0" formatCode="General"/>
    </dxf>
    <dxf>
      <numFmt numFmtId="0" formatCode="General"/>
    </dxf>
    <dxf>
      <alignment wrapText="1"/>
    </dxf>
    <dxf>
      <numFmt numFmtId="0" formatCode="General"/>
    </dxf>
    <dxf>
      <alignment wrapText="1"/>
    </dxf>
    <dxf>
      <alignment wrapText="1"/>
    </dxf>
    <dxf>
      <numFmt numFmtId="165" formatCode="[$-421]dd\ mmmm\ yyyy;@"/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0" formatCode="_-&quot;Rp&quot;* #,##0_-;\-&quot;Rp&quot;* #,##0_-;_-&quot;Rp&quot;* &quot;-&quot;??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70" formatCode="_-&quot;Rp&quot;* #,##0_-;\-&quot;Rp&quot;* #,##0_-;_-&quot;Rp&quot;* &quot;-&quot;??_-;_-@_-"/>
    </dxf>
    <dxf>
      <alignment wrapText="1"/>
    </dxf>
    <dxf>
      <alignment wrapText="1"/>
    </dxf>
    <dxf>
      <alignment wrapText="1"/>
    </dxf>
    <dxf>
      <numFmt numFmtId="169" formatCode="[$-421]dddd&quot;, &quot;dd\ mmmm\ yyyy"/>
      <alignment horizontal="left"/>
    </dxf>
    <dxf>
      <numFmt numFmtId="170" formatCode="_-&quot;Rp&quot;* #,##0_-;\-&quot;Rp&quot;* #,##0_-;_-&quot;Rp&quot;* &quot;-&quot;??_-;_-@_-"/>
    </dxf>
    <dxf>
      <numFmt numFmtId="170" formatCode="_-&quot;Rp&quot;* #,##0_-;\-&quot;Rp&quot;* #,##0_-;_-&quot;Rp&quot;* &quot;-&quot;??_-;_-@_-"/>
    </dxf>
    <dxf>
      <numFmt numFmtId="170" formatCode="_-&quot;Rp&quot;* #,##0_-;\-&quot;Rp&quot;* #,##0_-;_-&quot;Rp&quot;* &quot;-&quot;??_-;_-@_-"/>
    </dxf>
    <dxf>
      <numFmt numFmtId="170" formatCode="_-&quot;Rp&quot;* #,##0_-;\-&quot;Rp&quot;* #,##0_-;_-&quot;Rp&quot;* &quot;-&quot;??_-;_-@_-"/>
    </dxf>
    <dxf>
      <numFmt numFmtId="169" formatCode="[$-421]dddd&quot;, &quot;dd\ mmmm\ yyyy"/>
      <alignment horizontal="left" wrapText="1"/>
    </dxf>
    <dxf>
      <numFmt numFmtId="164" formatCode="_-&quot;Rp&quot;* #,##0_-;\-&quot;Rp&quot;* #,##0_-;_-&quot;Rp&quot;* &quot;-&quot;_-;_-@_-"/>
      <alignment wrapText="1"/>
    </dxf>
    <dxf>
      <alignment wrapText="1"/>
    </dxf>
    <dxf>
      <numFmt numFmtId="0" formatCode="General"/>
    </dxf>
    <dxf>
      <numFmt numFmtId="169" formatCode="[$-421]dddd&quot;, &quot;dd\ mmmm\ yyyy"/>
      <alignment horizontal="left"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n" refreshedDate="45490.942974537" createdVersion="5" refreshedVersion="5" minRefreshableVersion="3" recordCount="9" xr:uid="{00000000-000A-0000-FFFF-FFFF00000000}">
  <cacheSource type="worksheet">
    <worksheetSource name="Table12"/>
  </cacheSource>
  <cacheFields count="3">
    <cacheField name="Bulan" numFmtId="0">
      <sharedItems count="3">
        <s v="Januari"/>
        <s v="Februari"/>
        <s v="Maret"/>
      </sharedItems>
    </cacheField>
    <cacheField name="Jenis Barang" numFmtId="0">
      <sharedItems count="3">
        <s v="Peci"/>
        <s v="Siwak"/>
        <s v="Habbatussauda"/>
      </sharedItems>
    </cacheField>
    <cacheField name="Keuntungan" numFmtId="170">
      <sharedItems containsSemiMixedTypes="0" containsString="0" containsNumber="1" containsInteger="1" minValue="0" maxValue="23000" count="8">
        <n v="3000"/>
        <n v="15000"/>
        <n v="23000"/>
        <n v="12000"/>
        <n v="10000"/>
        <n v="5000"/>
        <n v="1000"/>
        <n v="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</r>
  <r>
    <x v="0"/>
    <x v="1"/>
    <x v="1"/>
  </r>
  <r>
    <x v="0"/>
    <x v="2"/>
    <x v="2"/>
  </r>
  <r>
    <x v="1"/>
    <x v="0"/>
    <x v="3"/>
  </r>
  <r>
    <x v="1"/>
    <x v="1"/>
    <x v="4"/>
  </r>
  <r>
    <x v="1"/>
    <x v="2"/>
    <x v="5"/>
  </r>
  <r>
    <x v="2"/>
    <x v="0"/>
    <x v="6"/>
  </r>
  <r>
    <x v="2"/>
    <x v="1"/>
    <x v="7"/>
  </r>
  <r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14:E19" firstHeaderRow="1" firstDataRow="2" firstDataCol="1"/>
  <pivotFields count="3"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numFmtId="170" showAll="0">
      <items count="9">
        <item x="7"/>
        <item x="6"/>
        <item x="0"/>
        <item x="5"/>
        <item x="4"/>
        <item x="3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Keuntungan" fld="2" baseField="0" baseItem="0"/>
  </dataFields>
  <formats count="5">
    <format dxfId="129">
      <pivotArea collapsedLevelsAreSubtotals="1" fieldPosition="0"/>
    </format>
    <format dxfId="128">
      <pivotArea fieldPosition="0">
        <references count="1">
          <reference field="1" count="2">
            <x v="1"/>
            <x v="2"/>
          </reference>
        </references>
      </pivotArea>
    </format>
    <format dxfId="127">
      <pivotArea grandRow="1" outline="0" collapsedLevelsAreSubtotals="1" fieldPosition="0"/>
    </format>
    <format dxfId="126">
      <pivotArea fieldPosition="0">
        <references count="2">
          <reference field="0" count="2" selected="0">
            <x v="1"/>
            <x v="2"/>
          </reference>
          <reference field="1" count="1">
            <x v="0"/>
          </reference>
        </references>
      </pivotArea>
    </format>
    <format dxfId="125">
      <pivotArea field="1" grandCol="1" axis="axisRow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66CB4-9D13-4803-921C-290B4CA42953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80:E85" firstHeaderRow="1" firstDataRow="2" firstDataCol="1"/>
  <pivotFields count="3"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dataField="1" compact="0" numFmtId="170" showAll="0">
      <items count="9">
        <item x="7"/>
        <item x="6"/>
        <item x="0"/>
        <item x="5"/>
        <item x="4"/>
        <item x="3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Keuntungan" fld="2" baseField="0" baseItem="0"/>
  </dataFields>
  <formats count="15">
    <format dxfId="107">
      <pivotArea collapsedLevelsAreSubtotals="1" fieldPosition="0"/>
    </format>
    <format dxfId="106">
      <pivotArea fieldPosition="0">
        <references count="1">
          <reference field="1" count="2">
            <x v="1"/>
            <x v="2"/>
          </reference>
        </references>
      </pivotArea>
    </format>
    <format dxfId="105">
      <pivotArea grandRow="1" outline="0" collapsedLevelsAreSubtotals="1" fieldPosition="0"/>
    </format>
    <format dxfId="104">
      <pivotArea fieldPosition="0">
        <references count="2">
          <reference field="0" count="2" selected="0">
            <x v="1"/>
            <x v="2"/>
          </reference>
          <reference field="1" count="1">
            <x v="0"/>
          </reference>
        </references>
      </pivotArea>
    </format>
    <format dxfId="103">
      <pivotArea field="1" grandCol="1" axis="axisRow" fieldPosition="0">
        <references count="1">
          <reference field="1" count="1">
            <x v="0"/>
          </reference>
        </references>
      </pivotArea>
    </format>
    <format dxfId="3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0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1" type="button" dataOnly="0" labelOnly="1" outline="0" axis="axisRow" fieldPosition="0"/>
    </format>
    <format dxfId="18">
      <pivotArea dataOnly="0" labelOnly="1" outline="0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0" count="0"/>
        </references>
      </pivotArea>
    </format>
    <format dxfId="15">
      <pivotArea dataOnly="0" labelOnly="1" grandCol="1" outline="0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C13" totalsRowShown="0">
  <autoFilter ref="A3:C13" xr:uid="{00000000-0009-0000-0100-000002000000}"/>
  <tableColumns count="3">
    <tableColumn id="1" xr3:uid="{00000000-0010-0000-0000-000001000000}" name="Nama" dataDxfId="143"/>
    <tableColumn id="2" xr3:uid="{00000000-0010-0000-0000-000002000000}" name="Tanggal Lahir" dataDxfId="142"/>
    <tableColumn id="3" xr3:uid="{00000000-0010-0000-0000-000003000000}" name="Umur" dataDxfId="141">
      <calculatedColumnFormula>DATEDIF(B4,TODAY(),"y")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3:D13" totalsRowShown="0">
  <autoFilter ref="A3:D13" xr:uid="{00000000-0009-0000-0100-000001000000}"/>
  <tableColumns count="4">
    <tableColumn id="1" xr3:uid="{00000000-0010-0000-0100-000001000000}" name="Nama" dataDxfId="140"/>
    <tableColumn id="2" xr3:uid="{00000000-0010-0000-0100-000002000000}" name="Nominal" dataDxfId="139"/>
    <tableColumn id="3" xr3:uid="{00000000-0010-0000-0100-000003000000}" name="Tanggal Jatuh Tempo" dataDxfId="138"/>
    <tableColumn id="4" xr3:uid="{00000000-0010-0000-0100-000004000000}" name="Jatuh Tempo">
      <calculatedColumnFormula>_xlfn.DAYS(C4,TODAY())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3:E7" totalsRowShown="0">
  <autoFilter ref="A3:E7" xr:uid="{00000000-0009-0000-0100-000005000000}"/>
  <tableColumns count="5">
    <tableColumn id="1" xr3:uid="{00000000-0010-0000-0200-000001000000}" name="Nama Barang"/>
    <tableColumn id="2" xr3:uid="{00000000-0010-0000-0200-000002000000}" name="Januari" dataDxfId="137"/>
    <tableColumn id="3" xr3:uid="{00000000-0010-0000-0200-000003000000}" name="Februari" dataDxfId="136"/>
    <tableColumn id="4" xr3:uid="{00000000-0010-0000-0200-000004000000}" name="Maret" dataDxfId="135"/>
    <tableColumn id="5" xr3:uid="{00000000-0010-0000-0200-000005000000}" name="Total" dataDxfId="1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10" displayName="Table10" ref="A15:D18" totalsRowShown="0">
  <autoFilter ref="A15:D18" xr:uid="{00000000-0009-0000-0100-00000A000000}"/>
  <tableColumns count="4">
    <tableColumn id="1" xr3:uid="{00000000-0010-0000-0300-000001000000}" name="Tanggal" dataDxfId="133"/>
    <tableColumn id="2" xr3:uid="{00000000-0010-0000-0300-000002000000}" name="Nama Panggilan"/>
    <tableColumn id="3" xr3:uid="{00000000-0010-0000-0300-000003000000}" name="Nama Lengkap">
      <calculatedColumnFormula>VLOOKUP(B16,$A$3:$C$13,2,FALSE)</calculatedColumnFormula>
    </tableColumn>
    <tableColumn id="4" xr3:uid="{00000000-0010-0000-0300-000004000000}" name="Pelanggar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Table11" displayName="Table11" ref="A3:C13" totalsRowShown="0">
  <autoFilter ref="A3:C13" xr:uid="{00000000-0009-0000-0100-00000B000000}"/>
  <tableColumns count="3">
    <tableColumn id="1" xr3:uid="{00000000-0010-0000-0400-000001000000}" name="Nama Panggilan" dataDxfId="132"/>
    <tableColumn id="2" xr3:uid="{00000000-0010-0000-0400-000002000000}" name="Nama Lengkap" dataDxfId="131"/>
    <tableColumn id="3" xr3:uid="{00000000-0010-0000-0400-000003000000}" name="Umur" dataDxfId="1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able12" displayName="Table12" ref="A3:C12" totalsRowShown="0">
  <autoFilter ref="A3:C12" xr:uid="{00000000-0009-0000-0100-00000C000000}"/>
  <tableColumns count="3">
    <tableColumn id="1" xr3:uid="{00000000-0010-0000-0500-000001000000}" name="Bulan"/>
    <tableColumn id="2" xr3:uid="{00000000-0010-0000-0500-000002000000}" name="Jenis Barang"/>
    <tableColumn id="3" xr3:uid="{00000000-0010-0000-0500-000003000000}" name="Keuntungan" dataDxfId="1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e14" displayName="Table14" ref="A3:E13" totalsRowShown="0">
  <autoFilter ref="A3:E13" xr:uid="{00000000-0009-0000-0100-00000E000000}"/>
  <tableColumns count="5">
    <tableColumn id="1" xr3:uid="{00000000-0010-0000-0600-000001000000}" name="Nama" dataDxfId="123"/>
    <tableColumn id="2" xr3:uid="{00000000-0010-0000-0600-000002000000}" name="Alamat" dataDxfId="122"/>
    <tableColumn id="3" xr3:uid="{00000000-0010-0000-0600-000003000000}" name="Kelas" dataDxfId="121"/>
    <tableColumn id="4" xr3:uid="{00000000-0010-0000-0600-000004000000}" name="Bulan Diterima" dataDxfId="120"/>
    <tableColumn id="5" xr3:uid="{00000000-0010-0000-0600-000005000000}" name="ID">
      <calculatedColumnFormula>_xlfn.TEXTJOIN("-",TRUE,B4:D4)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15" displayName="Table15" ref="A3:E9" totalsRowShown="0">
  <autoFilter ref="A3:E9" xr:uid="{00000000-0009-0000-0100-00000F000000}"/>
  <tableColumns count="5">
    <tableColumn id="1" xr3:uid="{00000000-0010-0000-0700-000001000000}" name="Nomor"/>
    <tableColumn id="2" xr3:uid="{00000000-0010-0000-0700-000002000000}" name="Nama Barang"/>
    <tableColumn id="3" xr3:uid="{00000000-0010-0000-0700-000003000000}" name="Jumlah"/>
    <tableColumn id="4" xr3:uid="{00000000-0010-0000-0700-000004000000}" name="Harga Satuan"/>
    <tableColumn id="5" xr3:uid="{00000000-0010-0000-0700-000005000000}" name="Jumlah Harg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16" displayName="Table16" ref="A3:B13" totalsRowShown="0">
  <autoFilter ref="A3:B13" xr:uid="{00000000-0009-0000-0100-000010000000}"/>
  <tableColumns count="2">
    <tableColumn id="1" xr3:uid="{00000000-0010-0000-0800-000001000000}" name="Tanggal" dataDxfId="119"/>
    <tableColumn id="2" xr3:uid="{00000000-0010-0000-0800-000002000000}" name="Hari">
      <calculatedColumnFormula>TEXT(A4,"dddd")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e17" displayName="Table17" ref="A3:C13" totalsRowShown="0">
  <autoFilter ref="A3:C13" xr:uid="{00000000-0009-0000-0100-000011000000}"/>
  <tableColumns count="3">
    <tableColumn id="1" xr3:uid="{00000000-0010-0000-0900-000001000000}" name="Nama Depan" dataDxfId="118"/>
    <tableColumn id="2" xr3:uid="{00000000-0010-0000-0900-000002000000}" name="Nama Belakang" dataDxfId="117"/>
    <tableColumn id="3" xr3:uid="{00000000-0010-0000-0900-000003000000}" name="Nama Lengkap" dataDxfId="1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Table18" displayName="Table18" ref="A3:C13" totalsRowShown="0">
  <autoFilter ref="A3:C13" xr:uid="{00000000-0009-0000-0100-000012000000}"/>
  <tableColumns count="3">
    <tableColumn id="1" xr3:uid="{00000000-0010-0000-0A00-000001000000}" name="Judul Film" dataDxfId="115"/>
    <tableColumn id="2" xr3:uid="{00000000-0010-0000-0A00-000002000000}" name="Judulnya Aja" dataDxfId="114"/>
    <tableColumn id="3" xr3:uid="{00000000-0010-0000-0A00-000003000000}" name="Tahun" dataDxfId="11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B000000}" name="Table19" displayName="Table19" ref="A3:B9" totalsRowShown="0">
  <autoFilter ref="A3:B9" xr:uid="{00000000-0009-0000-0100-000013000000}"/>
  <tableColumns count="2">
    <tableColumn id="1" xr3:uid="{00000000-0010-0000-0B00-000001000000}" name="Barang" dataDxfId="112"/>
    <tableColumn id="2" xr3:uid="{00000000-0010-0000-0B00-000002000000}" name="Banyaknya" dataDxfId="1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C000000}" name="Table20" displayName="Table20" ref="A3:C8" totalsRowShown="0">
  <autoFilter ref="A3:C8" xr:uid="{00000000-0009-0000-0100-000014000000}"/>
  <tableColumns count="3">
    <tableColumn id="1" xr3:uid="{00000000-0010-0000-0C00-000001000000}" name="Nama"/>
    <tableColumn id="2" xr3:uid="{00000000-0010-0000-0C00-000002000000}" name="Nilai"/>
    <tableColumn id="3" xr3:uid="{00000000-0010-0000-0C00-000003000000}" name="Ranking">
      <calculatedColumnFormula>RANK(B4,$B$4:$B$8,0)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D000000}" name="Table21" displayName="Table21" ref="A3:C6" totalsRowShown="0">
  <autoFilter ref="A3:C6" xr:uid="{00000000-0009-0000-0100-000015000000}"/>
  <tableColumns count="3">
    <tableColumn id="1" xr3:uid="{00000000-0010-0000-0D00-000001000000}" name="Tempat"/>
    <tableColumn id="2" xr3:uid="{00000000-0010-0000-0D00-000002000000}" name="Tanggal Lahir" dataDxfId="110"/>
    <tableColumn id="3" xr3:uid="{00000000-0010-0000-0D00-000003000000}" name="Tempat Tanggal Lahir" dataDxfId="10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Table24" displayName="Table24" ref="A3:B7" totalsRowShown="0">
  <autoFilter ref="A3:B7" xr:uid="{00000000-0009-0000-0100-000018000000}"/>
  <tableColumns count="2">
    <tableColumn id="1" xr3:uid="{00000000-0010-0000-0E00-000001000000}" name="Nama Lengkap"/>
    <tableColumn id="2" xr3:uid="{00000000-0010-0000-0E00-000002000000}" name="Nama Tengah" dataDxfId="10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4421EA-D2D8-4AE1-86A5-437F0B6B776E}" name="Table25" displayName="Table25" ref="A3:C13" totalsRowShown="0" headerRowDxfId="14" dataDxfId="96">
  <autoFilter ref="A3:C13" xr:uid="{EE4421EA-D2D8-4AE1-86A5-437F0B6B776E}"/>
  <tableColumns count="3">
    <tableColumn id="1" xr3:uid="{26A43CAA-7016-4ABA-9126-8525223FDD23}" name="Nama" dataDxfId="99"/>
    <tableColumn id="2" xr3:uid="{FF69D44C-C2B7-4D1C-8FCC-23042549956B}" name="Tanggal Lahir" dataDxfId="98"/>
    <tableColumn id="3" xr3:uid="{6DFFCB26-C444-4A26-AE61-FB30294E89B6}" name="Umur" dataDxfId="97">
      <calculatedColumnFormula>DATEDIF(B4,TODAY(),"y")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64E646-FD5A-45B2-9C71-9C5E138139F3}" name="Table110" displayName="Table110" ref="A20:D30" totalsRowShown="0" headerRowDxfId="13" dataDxfId="91">
  <autoFilter ref="A20:D30" xr:uid="{8F64E646-FD5A-45B2-9C71-9C5E138139F3}"/>
  <tableColumns count="4">
    <tableColumn id="1" xr3:uid="{54B3AFD3-395A-4E1E-8442-AAAD380F1739}" name="Nama" dataDxfId="95"/>
    <tableColumn id="2" xr3:uid="{FC37B222-605D-442D-95D9-914561854ED4}" name="Nominal" dataDxfId="94"/>
    <tableColumn id="3" xr3:uid="{529C2D62-7B11-4E99-B84D-14F2DA5FFD0D}" name="Tanggal Jatuh Tempo" dataDxfId="93"/>
    <tableColumn id="4" xr3:uid="{F6B41870-6907-4522-9275-DA2D9E0FD0B0}" name="Jatuh Tempo" dataDxfId="92">
      <calculatedColumnFormula>_xlfn.DAYS(C21,TODAY())</calculatedColumnFormula>
    </tableColumn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A97E0D-E2D6-424C-BBDB-0B582AA68A62}" name="Table57" displayName="Table57" ref="A37:E41" totalsRowShown="0" headerRowDxfId="12" dataDxfId="85">
  <autoFilter ref="A37:E41" xr:uid="{06A97E0D-E2D6-424C-BBDB-0B582AA68A62}"/>
  <tableColumns count="5">
    <tableColumn id="1" xr3:uid="{F52CA08E-6A93-4D4A-BAF4-6B8DAC8463F4}" name="Nama Barang" dataDxfId="90"/>
    <tableColumn id="2" xr3:uid="{147A8229-BC21-491C-BEA2-9A603AEC35A3}" name="Januari" dataDxfId="89"/>
    <tableColumn id="3" xr3:uid="{3CFCC325-4A36-413D-973B-42DC3391B5C5}" name="Februari" dataDxfId="88"/>
    <tableColumn id="4" xr3:uid="{DE558E42-D044-4442-BD4E-AC358B8A54CB}" name="Maret" dataDxfId="87"/>
    <tableColumn id="5" xr3:uid="{926864C9-2848-4B93-A97C-DB91B40E941E}" name="Total" dataDxfId="86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0604E4-24CA-49C5-A15F-DCC52D35F3FD}" name="Table108" displayName="Table108" ref="A59:D62" totalsRowShown="0" headerRowDxfId="10" dataDxfId="80">
  <autoFilter ref="A59:D62" xr:uid="{1D0604E4-24CA-49C5-A15F-DCC52D35F3FD}"/>
  <tableColumns count="4">
    <tableColumn id="1" xr3:uid="{F7646CBD-8296-452D-B7DB-EF62322F9384}" name="Tanggal" dataDxfId="84"/>
    <tableColumn id="2" xr3:uid="{F9D69030-EC49-49A4-A96D-A31D0382F4E0}" name="Nama Panggilan" dataDxfId="83"/>
    <tableColumn id="3" xr3:uid="{B03D35DD-E59B-4493-8FF2-52458167B1FA}" name="Nama Lengkap" dataDxfId="82">
      <calculatedColumnFormula>VLOOKUP(B60,Table119[#All],2,FALSE)</calculatedColumnFormula>
    </tableColumn>
    <tableColumn id="4" xr3:uid="{B84D444A-783D-4F3F-A315-074610E32CE0}" name="Pelanggaran" dataDxfId="81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C498F4-5CE3-4E5D-855F-55BA758AFFB5}" name="Table119" displayName="Table119" ref="A47:C57" totalsRowShown="0" headerRowDxfId="11" dataDxfId="76">
  <autoFilter ref="A47:C57" xr:uid="{16C498F4-5CE3-4E5D-855F-55BA758AFFB5}"/>
  <tableColumns count="3">
    <tableColumn id="1" xr3:uid="{5553335D-736D-4E90-8FA7-4ECB4E5BF559}" name="Nama Panggilan" dataDxfId="79"/>
    <tableColumn id="2" xr3:uid="{0A20D6AD-4497-4183-8F23-B1D189A8ED81}" name="Nama Lengkap" dataDxfId="78"/>
    <tableColumn id="3" xr3:uid="{19FC7062-365D-450D-B13D-CFAC67FDB88B}" name="Umur" dataDxfId="77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B49D0D-F534-41C4-891F-D7699981619C}" name="Table1210" displayName="Table1210" ref="A69:C78" totalsRowShown="0" headerRowDxfId="9" dataDxfId="72">
  <autoFilter ref="A69:C78" xr:uid="{36B49D0D-F534-41C4-891F-D7699981619C}"/>
  <tableColumns count="3">
    <tableColumn id="1" xr3:uid="{9651AB88-C673-48ED-8475-5C5A911023E3}" name="Bulan" dataDxfId="75"/>
    <tableColumn id="2" xr3:uid="{C6C04B18-AF81-411F-AF4C-40C8AFFE792B}" name="Jenis Barang" dataDxfId="74"/>
    <tableColumn id="3" xr3:uid="{D3AE85CF-FAA4-4341-8D0C-73B33FF85B00}" name="Keuntungan" dataDxfId="73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702108-53B8-4AF3-BFA8-1DCDE194998E}" name="Table1414" displayName="Table1414" ref="A91:E101" totalsRowShown="0" headerRowDxfId="8" dataDxfId="66">
  <autoFilter ref="A91:E101" xr:uid="{06702108-53B8-4AF3-BFA8-1DCDE194998E}"/>
  <tableColumns count="5">
    <tableColumn id="1" xr3:uid="{30AF6EA9-2427-4DE2-ADDC-D81A83A9E716}" name="Nama" dataDxfId="71"/>
    <tableColumn id="2" xr3:uid="{323B10BA-A947-4D2C-9484-E8FAC23E1BBF}" name="Alamat" dataDxfId="70"/>
    <tableColumn id="3" xr3:uid="{E28D4280-DA8E-4EB7-A55E-C0058A3F3067}" name="Kelas" dataDxfId="69"/>
    <tableColumn id="4" xr3:uid="{C6C82DB0-1C88-4C41-AEF2-F1D75F60F4DF}" name="Bulan Diterima" dataDxfId="68"/>
    <tableColumn id="5" xr3:uid="{63E5A923-292C-4779-BB91-B1056A61FC3B}" name="ID" dataDxfId="67">
      <calculatedColumnFormula>_xlfn.TEXTJOIN("-",TRUE,B92:D92)</calculatedColumnFormula>
    </tableColumn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BDEF770-AAD2-42A6-B4AE-DEC97A0EDF99}" name="Table1523" displayName="Table1523" ref="A107:E113" totalsRowShown="0" headerRowDxfId="7" dataDxfId="60">
  <autoFilter ref="A107:E113" xr:uid="{DBDEF770-AAD2-42A6-B4AE-DEC97A0EDF99}"/>
  <tableColumns count="5">
    <tableColumn id="1" xr3:uid="{0A7CF14B-F5AF-433D-8A39-677F97C31F3C}" name="Nomor" dataDxfId="65"/>
    <tableColumn id="2" xr3:uid="{19D575B9-3E8C-45B1-A876-F0E91E484C39}" name="Nama Barang" dataDxfId="64"/>
    <tableColumn id="3" xr3:uid="{3CA167BE-71F7-4320-965A-24459A118AE0}" name="Jumlah" dataDxfId="63"/>
    <tableColumn id="4" xr3:uid="{98E9F6B3-C793-4392-9020-F8BD5084494B}" name="Harga Satuan" dataDxfId="62"/>
    <tableColumn id="5" xr3:uid="{D75D36F6-8D5B-459F-B558-BE813BD5F2FA}" name="Jumlah Harga" dataDxfId="61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DA799E-DDCB-4C08-AAF9-16E74E017918}" name="Table1624" displayName="Table1624" ref="A120:B130" totalsRowShown="0" headerRowDxfId="6" dataDxfId="57">
  <autoFilter ref="A120:B130" xr:uid="{19DA799E-DDCB-4C08-AAF9-16E74E017918}"/>
  <tableColumns count="2">
    <tableColumn id="1" xr3:uid="{46D3052E-3909-43FE-8A18-8A8C9A53CC06}" name="Tanggal" dataDxfId="59"/>
    <tableColumn id="2" xr3:uid="{72630527-7ED2-4874-9486-CADF18C0A36C}" name="Hari" dataDxfId="58">
      <calculatedColumnFormula>TEXT(A121,"dddd")</calculatedColumnFormula>
    </tableColumn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01B70A3-0A02-49BC-B441-8B47C3D167B5}" name="Table1726" displayName="Table1726" ref="A136:C146" totalsRowShown="0" headerRowDxfId="5" dataDxfId="53">
  <autoFilter ref="A136:C146" xr:uid="{101B70A3-0A02-49BC-B441-8B47C3D167B5}"/>
  <tableColumns count="3">
    <tableColumn id="1" xr3:uid="{29054C94-11BE-4222-81CB-228370334A06}" name="Nama Depan" dataDxfId="56"/>
    <tableColumn id="2" xr3:uid="{D96D2616-5873-404C-9237-780AF5DD5BEB}" name="Nama Belakang" dataDxfId="55"/>
    <tableColumn id="3" xr3:uid="{767D2F08-775D-491F-852F-7F9EEAEB316A}" name="Nama Lengkap" dataDxfId="54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1C6E748-C5DF-4702-B91F-96DDBFD829C3}" name="Table1827" displayName="Table1827" ref="A152:C162" totalsRowShown="0" headerRowDxfId="4" dataDxfId="49">
  <autoFilter ref="A152:C162" xr:uid="{91C6E748-C5DF-4702-B91F-96DDBFD829C3}"/>
  <tableColumns count="3">
    <tableColumn id="1" xr3:uid="{3C21C11A-ED64-422E-9722-E98466A78502}" name="Judul Film" dataDxfId="52"/>
    <tableColumn id="2" xr3:uid="{A98D7345-749D-4F8C-BD36-E25DB83C9084}" name="Judulnya Aja" dataDxfId="51"/>
    <tableColumn id="3" xr3:uid="{907927AE-7227-4677-9244-6592FBCB2E59}" name="Tahun" dataDxfId="50"/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CD3A560-31EC-48C4-9776-D0309DBFA140}" name="Table1928" displayName="Table1928" ref="A168:B174" totalsRowShown="0" headerRowDxfId="3" dataDxfId="46">
  <autoFilter ref="A168:B174" xr:uid="{5CD3A560-31EC-48C4-9776-D0309DBFA140}"/>
  <tableColumns count="2">
    <tableColumn id="1" xr3:uid="{78A70303-530A-4D32-AB69-78B2C8358D6A}" name="Barang" dataDxfId="48"/>
    <tableColumn id="2" xr3:uid="{4C17271E-A498-45BD-99D5-01698DDB8D6F}" name="Banyaknya" dataDxfId="47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B5C22B2-BD56-4B02-A9F7-54157716DF0F}" name="Table2029" displayName="Table2029" ref="A181:C186" totalsRowShown="0" headerRowDxfId="2" dataDxfId="42">
  <autoFilter ref="A181:C186" xr:uid="{5B5C22B2-BD56-4B02-A9F7-54157716DF0F}"/>
  <tableColumns count="3">
    <tableColumn id="1" xr3:uid="{0F98E442-1EA4-4D27-A2DC-E416D2ED0832}" name="Nama" dataDxfId="45"/>
    <tableColumn id="2" xr3:uid="{47E0DDB4-4BB6-4B48-BCFD-C1A04C56482E}" name="Nilai" dataDxfId="44"/>
    <tableColumn id="3" xr3:uid="{6513AE71-ECF2-4895-BD6F-970F2F07E201}" name="Ranking" dataDxfId="43">
      <calculatedColumnFormula>RANK(B182,Table2029[Nilai],0)</calculatedColumnFormula>
    </tableColumn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6D87D5D-4F94-4EBD-9BC5-2842AEA6F76E}" name="Table2130" displayName="Table2130" ref="A192:C195" totalsRowShown="0" headerRowDxfId="1" dataDxfId="38">
  <autoFilter ref="A192:C195" xr:uid="{36D87D5D-4F94-4EBD-9BC5-2842AEA6F76E}"/>
  <tableColumns count="3">
    <tableColumn id="1" xr3:uid="{F21F4938-B76E-4EF5-889B-175E6A95FF48}" name="Tempat" dataDxfId="41"/>
    <tableColumn id="2" xr3:uid="{503F4CC0-A53B-4BC8-99D9-254279E1D9D0}" name="Tanggal Lahir" dataDxfId="40"/>
    <tableColumn id="3" xr3:uid="{7CAEC4EA-9FAE-4D77-AA54-CCCCC3663B8B}" name="Tempat Tanggal Lahir" dataDxfId="39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2FE3D14-88D9-4D00-A2C0-17940113B8F3}" name="Table2431" displayName="Table2431" ref="A201:B205" totalsRowShown="0" headerRowDxfId="0" dataDxfId="35">
  <autoFilter ref="A201:B205" xr:uid="{72FE3D14-88D9-4D00-A2C0-17940113B8F3}"/>
  <tableColumns count="2">
    <tableColumn id="1" xr3:uid="{89863F0E-0C64-44CD-B8B2-D268A3316637}" name="Nama Lengkap" dataDxfId="37"/>
    <tableColumn id="2" xr3:uid="{74F33F4C-1EEF-41C0-9381-1FF0BCA10457}" name="Nama Tengah" dataDxfId="3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17" Type="http://schemas.openxmlformats.org/officeDocument/2006/relationships/table" Target="../tables/table30.xml"/><Relationship Id="rId2" Type="http://schemas.openxmlformats.org/officeDocument/2006/relationships/printerSettings" Target="../printerSettings/printerSettings1.bin"/><Relationship Id="rId16" Type="http://schemas.openxmlformats.org/officeDocument/2006/relationships/table" Target="../tables/table29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sqref="A1:C16"/>
    </sheetView>
  </sheetViews>
  <sheetFormatPr defaultColWidth="8.85546875" defaultRowHeight="15" x14ac:dyDescent="0.25"/>
  <cols>
    <col min="1" max="1" width="8.42578125" customWidth="1"/>
    <col min="2" max="2" width="24.42578125" customWidth="1"/>
    <col min="3" max="3" width="8.5703125" customWidth="1"/>
    <col min="5" max="5" width="9.7109375" bestFit="1" customWidth="1"/>
  </cols>
  <sheetData>
    <row r="1" spans="1:5" x14ac:dyDescent="0.25">
      <c r="A1" s="28" t="s">
        <v>175</v>
      </c>
      <c r="B1" s="28"/>
      <c r="C1" s="28"/>
    </row>
    <row r="3" spans="1:5" x14ac:dyDescent="0.25">
      <c r="A3" t="s">
        <v>0</v>
      </c>
      <c r="B3" t="s">
        <v>1</v>
      </c>
      <c r="C3" t="s">
        <v>2</v>
      </c>
    </row>
    <row r="4" spans="1:5" x14ac:dyDescent="0.25">
      <c r="A4" t="s">
        <v>3</v>
      </c>
      <c r="B4" s="10">
        <v>33116</v>
      </c>
      <c r="C4" s="23">
        <f t="shared" ref="C4" ca="1" si="0">DATEDIF(B4,TODAY(),"y")</f>
        <v>35</v>
      </c>
    </row>
    <row r="5" spans="1:5" x14ac:dyDescent="0.25">
      <c r="A5" t="s">
        <v>4</v>
      </c>
      <c r="B5" s="20" t="s">
        <v>156</v>
      </c>
      <c r="E5" s="19"/>
    </row>
    <row r="6" spans="1:5" x14ac:dyDescent="0.25">
      <c r="A6" s="4" t="s">
        <v>5</v>
      </c>
      <c r="B6" s="21" t="s">
        <v>157</v>
      </c>
      <c r="E6" s="19"/>
    </row>
    <row r="7" spans="1:5" x14ac:dyDescent="0.25">
      <c r="A7" s="4" t="s">
        <v>6</v>
      </c>
      <c r="B7" s="21" t="s">
        <v>158</v>
      </c>
      <c r="E7" s="18"/>
    </row>
    <row r="8" spans="1:5" x14ac:dyDescent="0.25">
      <c r="A8" s="4" t="s">
        <v>7</v>
      </c>
      <c r="B8" s="21" t="s">
        <v>159</v>
      </c>
      <c r="E8" s="18"/>
    </row>
    <row r="9" spans="1:5" x14ac:dyDescent="0.25">
      <c r="A9" s="4" t="s">
        <v>8</v>
      </c>
      <c r="B9" s="21" t="s">
        <v>160</v>
      </c>
      <c r="E9" s="18"/>
    </row>
    <row r="10" spans="1:5" x14ac:dyDescent="0.25">
      <c r="A10" s="4" t="s">
        <v>9</v>
      </c>
      <c r="B10" s="21" t="s">
        <v>161</v>
      </c>
      <c r="E10" s="18"/>
    </row>
    <row r="11" spans="1:5" x14ac:dyDescent="0.25">
      <c r="A11" s="4" t="s">
        <v>10</v>
      </c>
      <c r="B11" s="21" t="s">
        <v>162</v>
      </c>
      <c r="E11" s="18"/>
    </row>
    <row r="12" spans="1:5" x14ac:dyDescent="0.25">
      <c r="A12" s="4" t="s">
        <v>11</v>
      </c>
      <c r="B12" s="21" t="s">
        <v>163</v>
      </c>
      <c r="E12" s="18"/>
    </row>
    <row r="13" spans="1:5" x14ac:dyDescent="0.25">
      <c r="A13" s="4" t="s">
        <v>12</v>
      </c>
      <c r="B13" s="21" t="s">
        <v>164</v>
      </c>
      <c r="E13" s="18"/>
    </row>
    <row r="15" spans="1:5" x14ac:dyDescent="0.25">
      <c r="A15" s="16" t="s">
        <v>181</v>
      </c>
    </row>
    <row r="16" spans="1:5" x14ac:dyDescent="0.25">
      <c r="A16" s="17" t="s">
        <v>182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sqref="A1:D16"/>
    </sheetView>
  </sheetViews>
  <sheetFormatPr defaultColWidth="8.85546875" defaultRowHeight="15" x14ac:dyDescent="0.25"/>
  <cols>
    <col min="1" max="1" width="8.42578125" bestFit="1" customWidth="1"/>
    <col min="2" max="2" width="11.28515625" bestFit="1" customWidth="1"/>
    <col min="3" max="3" width="25.85546875" bestFit="1" customWidth="1"/>
    <col min="4" max="4" width="14.5703125" bestFit="1" customWidth="1"/>
  </cols>
  <sheetData>
    <row r="1" spans="1:7" x14ac:dyDescent="0.25">
      <c r="A1" s="28" t="s">
        <v>176</v>
      </c>
      <c r="B1" s="28"/>
      <c r="C1" s="28"/>
      <c r="D1" s="28"/>
    </row>
    <row r="3" spans="1:7" x14ac:dyDescent="0.25">
      <c r="A3" t="s">
        <v>0</v>
      </c>
      <c r="B3" t="s">
        <v>13</v>
      </c>
      <c r="C3" t="s">
        <v>14</v>
      </c>
      <c r="D3" t="s">
        <v>15</v>
      </c>
    </row>
    <row r="4" spans="1:7" x14ac:dyDescent="0.25">
      <c r="A4" t="s">
        <v>3</v>
      </c>
      <c r="B4" s="12">
        <v>300000</v>
      </c>
      <c r="C4" s="10">
        <v>45535</v>
      </c>
      <c r="D4">
        <f t="shared" ref="D4" ca="1" si="0">_xlfn.DAYS(C4,TODAY())</f>
        <v>-494</v>
      </c>
    </row>
    <row r="5" spans="1:7" x14ac:dyDescent="0.25">
      <c r="A5" t="s">
        <v>16</v>
      </c>
      <c r="B5" s="18">
        <v>5000</v>
      </c>
      <c r="C5" s="20" t="s">
        <v>165</v>
      </c>
    </row>
    <row r="6" spans="1:7" x14ac:dyDescent="0.25">
      <c r="A6" s="4" t="s">
        <v>6</v>
      </c>
      <c r="B6" s="22">
        <v>150000</v>
      </c>
      <c r="C6" s="21" t="s">
        <v>166</v>
      </c>
    </row>
    <row r="7" spans="1:7" x14ac:dyDescent="0.25">
      <c r="A7" s="4" t="s">
        <v>5</v>
      </c>
      <c r="B7" s="22">
        <v>75000</v>
      </c>
      <c r="C7" s="21" t="s">
        <v>167</v>
      </c>
    </row>
    <row r="8" spans="1:7" x14ac:dyDescent="0.25">
      <c r="A8" s="4" t="s">
        <v>8</v>
      </c>
      <c r="B8" s="22">
        <v>250000</v>
      </c>
      <c r="C8" s="21" t="s">
        <v>168</v>
      </c>
    </row>
    <row r="9" spans="1:7" x14ac:dyDescent="0.25">
      <c r="A9" s="4" t="s">
        <v>7</v>
      </c>
      <c r="B9" s="22">
        <v>50000</v>
      </c>
      <c r="C9" s="21" t="s">
        <v>169</v>
      </c>
    </row>
    <row r="10" spans="1:7" x14ac:dyDescent="0.25">
      <c r="A10" s="4" t="s">
        <v>9</v>
      </c>
      <c r="B10" s="22">
        <v>100000</v>
      </c>
      <c r="C10" s="21" t="s">
        <v>170</v>
      </c>
    </row>
    <row r="11" spans="1:7" x14ac:dyDescent="0.25">
      <c r="A11" s="4" t="s">
        <v>10</v>
      </c>
      <c r="B11" s="22">
        <v>200000</v>
      </c>
      <c r="C11" s="21" t="s">
        <v>171</v>
      </c>
      <c r="F11" s="12"/>
      <c r="G11" s="10"/>
    </row>
    <row r="12" spans="1:7" x14ac:dyDescent="0.25">
      <c r="A12" s="4" t="s">
        <v>11</v>
      </c>
      <c r="B12" s="22">
        <v>120000</v>
      </c>
      <c r="C12" s="21" t="s">
        <v>172</v>
      </c>
      <c r="F12" s="13"/>
      <c r="G12" s="10"/>
    </row>
    <row r="13" spans="1:7" x14ac:dyDescent="0.25">
      <c r="A13" s="4" t="s">
        <v>12</v>
      </c>
      <c r="B13" s="22">
        <v>90000</v>
      </c>
      <c r="C13" s="21" t="s">
        <v>173</v>
      </c>
      <c r="E13" s="4"/>
      <c r="F13" s="14"/>
      <c r="G13" s="15"/>
    </row>
    <row r="14" spans="1:7" x14ac:dyDescent="0.25">
      <c r="E14" s="4"/>
      <c r="F14" s="14"/>
      <c r="G14" s="15"/>
    </row>
    <row r="15" spans="1:7" x14ac:dyDescent="0.25">
      <c r="A15" s="16" t="s">
        <v>174</v>
      </c>
      <c r="E15" s="4"/>
      <c r="F15" s="14"/>
      <c r="G15" s="15"/>
    </row>
    <row r="16" spans="1:7" x14ac:dyDescent="0.25">
      <c r="A16" s="17" t="s">
        <v>177</v>
      </c>
      <c r="E16" s="4"/>
      <c r="F16" s="14"/>
      <c r="G16" s="15"/>
    </row>
    <row r="17" spans="5:7" x14ac:dyDescent="0.25">
      <c r="E17" s="4"/>
      <c r="F17" s="14"/>
      <c r="G17" s="15"/>
    </row>
    <row r="18" spans="5:7" x14ac:dyDescent="0.25">
      <c r="E18" s="4"/>
      <c r="F18" s="14"/>
      <c r="G18" s="15"/>
    </row>
    <row r="19" spans="5:7" x14ac:dyDescent="0.25">
      <c r="E19" s="4"/>
      <c r="F19" s="14"/>
      <c r="G19" s="15"/>
    </row>
    <row r="20" spans="5:7" x14ac:dyDescent="0.25">
      <c r="E20" s="4"/>
      <c r="F20" s="14"/>
      <c r="G20" s="15"/>
    </row>
  </sheetData>
  <mergeCells count="1">
    <mergeCell ref="A1:D1"/>
  </mergeCells>
  <conditionalFormatting sqref="D4:D13">
    <cfRule type="cellIs" dxfId="102" priority="2" operator="lessThan">
      <formula>0</formula>
    </cfRule>
  </conditionalFormatting>
  <conditionalFormatting sqref="H11:H20">
    <cfRule type="cellIs" dxfId="101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E9"/>
    </sheetView>
  </sheetViews>
  <sheetFormatPr defaultColWidth="8.85546875" defaultRowHeight="15" x14ac:dyDescent="0.25"/>
  <cols>
    <col min="1" max="1" width="14.85546875" customWidth="1"/>
    <col min="2" max="3" width="11.28515625" customWidth="1"/>
    <col min="4" max="4" width="10.28515625" customWidth="1"/>
    <col min="5" max="5" width="11.28515625" customWidth="1"/>
  </cols>
  <sheetData>
    <row r="1" spans="1:5" x14ac:dyDescent="0.25">
      <c r="A1" s="28" t="s">
        <v>178</v>
      </c>
      <c r="B1" s="28"/>
      <c r="C1" s="28"/>
      <c r="D1" s="28"/>
      <c r="E1" s="28"/>
    </row>
    <row r="3" spans="1: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5" x14ac:dyDescent="0.25">
      <c r="A4" t="s">
        <v>22</v>
      </c>
      <c r="B4" s="8">
        <v>200000</v>
      </c>
      <c r="C4" s="18">
        <v>100000</v>
      </c>
      <c r="D4" s="18">
        <v>50000</v>
      </c>
      <c r="E4" s="8">
        <f>SUM(B4:D4)</f>
        <v>350000</v>
      </c>
    </row>
    <row r="5" spans="1:5" x14ac:dyDescent="0.25">
      <c r="A5" t="s">
        <v>23</v>
      </c>
      <c r="B5" s="18">
        <v>12000</v>
      </c>
      <c r="C5" s="18">
        <v>35000</v>
      </c>
      <c r="D5" s="18">
        <v>20000</v>
      </c>
      <c r="E5" s="8"/>
    </row>
    <row r="6" spans="1:5" x14ac:dyDescent="0.25">
      <c r="A6" t="s">
        <v>24</v>
      </c>
      <c r="B6" s="18">
        <v>10000</v>
      </c>
      <c r="C6" s="18">
        <v>23000</v>
      </c>
      <c r="D6" s="18">
        <v>500</v>
      </c>
      <c r="E6" s="8"/>
    </row>
    <row r="7" spans="1:5" x14ac:dyDescent="0.25">
      <c r="A7" s="9" t="s">
        <v>25</v>
      </c>
      <c r="B7" s="8">
        <f>SUM(B4:B6)</f>
        <v>222000</v>
      </c>
      <c r="C7" s="8"/>
      <c r="D7" s="8"/>
      <c r="E7" s="8"/>
    </row>
    <row r="9" spans="1:5" x14ac:dyDescent="0.25">
      <c r="A9" s="17" t="s">
        <v>179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C16" sqref="C16"/>
    </sheetView>
  </sheetViews>
  <sheetFormatPr defaultColWidth="8.85546875" defaultRowHeight="15" x14ac:dyDescent="0.25"/>
  <cols>
    <col min="1" max="1" width="24.7109375" bestFit="1" customWidth="1"/>
    <col min="2" max="2" width="17.5703125" bestFit="1" customWidth="1"/>
    <col min="3" max="3" width="16.28515625" bestFit="1" customWidth="1"/>
    <col min="4" max="4" width="20.28515625" bestFit="1" customWidth="1"/>
    <col min="5" max="5" width="24.7109375" customWidth="1"/>
    <col min="6" max="6" width="17.5703125" customWidth="1"/>
    <col min="7" max="7" width="16.28515625" customWidth="1"/>
    <col min="8" max="8" width="20.28515625" customWidth="1"/>
  </cols>
  <sheetData>
    <row r="1" spans="1:5" x14ac:dyDescent="0.25">
      <c r="A1" s="28" t="s">
        <v>180</v>
      </c>
      <c r="B1" s="28"/>
      <c r="C1" s="28"/>
      <c r="D1" s="28"/>
    </row>
    <row r="3" spans="1:5" x14ac:dyDescent="0.25">
      <c r="A3" t="s">
        <v>26</v>
      </c>
      <c r="B3" t="s">
        <v>27</v>
      </c>
      <c r="C3" t="s">
        <v>2</v>
      </c>
    </row>
    <row r="4" spans="1:5" x14ac:dyDescent="0.25">
      <c r="A4" t="s">
        <v>30</v>
      </c>
      <c r="B4" t="s">
        <v>31</v>
      </c>
      <c r="C4" t="s">
        <v>32</v>
      </c>
    </row>
    <row r="5" spans="1:5" x14ac:dyDescent="0.25">
      <c r="A5" t="s">
        <v>34</v>
      </c>
      <c r="B5" t="s">
        <v>35</v>
      </c>
      <c r="C5">
        <v>60</v>
      </c>
    </row>
    <row r="6" spans="1:5" x14ac:dyDescent="0.25">
      <c r="A6" s="4" t="s">
        <v>3</v>
      </c>
      <c r="B6" s="4" t="s">
        <v>38</v>
      </c>
      <c r="C6" s="4">
        <v>35</v>
      </c>
    </row>
    <row r="7" spans="1:5" x14ac:dyDescent="0.25">
      <c r="A7" s="4" t="s">
        <v>41</v>
      </c>
      <c r="B7" s="4" t="s">
        <v>42</v>
      </c>
      <c r="C7" s="4">
        <v>25</v>
      </c>
    </row>
    <row r="8" spans="1:5" x14ac:dyDescent="0.25">
      <c r="A8" s="4" t="s">
        <v>39</v>
      </c>
      <c r="B8" s="4" t="s">
        <v>43</v>
      </c>
      <c r="C8" s="4">
        <v>40</v>
      </c>
    </row>
    <row r="9" spans="1:5" x14ac:dyDescent="0.25">
      <c r="A9" s="4" t="s">
        <v>44</v>
      </c>
      <c r="B9" s="4" t="s">
        <v>45</v>
      </c>
      <c r="C9" s="4">
        <v>32</v>
      </c>
    </row>
    <row r="10" spans="1:5" x14ac:dyDescent="0.25">
      <c r="A10" s="4" t="s">
        <v>46</v>
      </c>
      <c r="B10" s="4" t="s">
        <v>47</v>
      </c>
      <c r="C10" s="4">
        <v>45</v>
      </c>
      <c r="E10" s="11"/>
    </row>
    <row r="11" spans="1:5" x14ac:dyDescent="0.25">
      <c r="A11" s="4" t="s">
        <v>48</v>
      </c>
      <c r="B11" s="4" t="s">
        <v>49</v>
      </c>
      <c r="C11" s="4">
        <v>28</v>
      </c>
    </row>
    <row r="12" spans="1:5" x14ac:dyDescent="0.25">
      <c r="A12" s="4" t="s">
        <v>36</v>
      </c>
      <c r="B12" s="4" t="s">
        <v>50</v>
      </c>
      <c r="C12" s="4">
        <v>50</v>
      </c>
    </row>
    <row r="13" spans="1:5" x14ac:dyDescent="0.25">
      <c r="A13" s="4" t="s">
        <v>51</v>
      </c>
      <c r="B13" s="4" t="s">
        <v>52</v>
      </c>
      <c r="C13" s="4">
        <v>22</v>
      </c>
    </row>
    <row r="15" spans="1:5" x14ac:dyDescent="0.25">
      <c r="A15" t="s">
        <v>28</v>
      </c>
      <c r="B15" t="s">
        <v>26</v>
      </c>
      <c r="C15" t="s">
        <v>27</v>
      </c>
      <c r="D15" t="s">
        <v>29</v>
      </c>
    </row>
    <row r="16" spans="1:5" x14ac:dyDescent="0.25">
      <c r="A16" s="10">
        <v>44816</v>
      </c>
      <c r="B16" t="s">
        <v>3</v>
      </c>
      <c r="C16" t="str">
        <f>VLOOKUP(B16,$A$3:$C$13,2,FALSE)</f>
        <v>Rudi Santoso</v>
      </c>
      <c r="D16" t="s">
        <v>33</v>
      </c>
    </row>
    <row r="17" spans="1:4" x14ac:dyDescent="0.25">
      <c r="A17" s="20" t="s">
        <v>184</v>
      </c>
      <c r="B17" t="s">
        <v>36</v>
      </c>
      <c r="D17" t="s">
        <v>37</v>
      </c>
    </row>
    <row r="18" spans="1:4" x14ac:dyDescent="0.25">
      <c r="A18" s="20" t="s">
        <v>185</v>
      </c>
      <c r="B18" t="s">
        <v>39</v>
      </c>
      <c r="D18" t="s">
        <v>40</v>
      </c>
    </row>
    <row r="20" spans="1:4" x14ac:dyDescent="0.25">
      <c r="A20" s="17" t="s">
        <v>182</v>
      </c>
    </row>
    <row r="21" spans="1:4" x14ac:dyDescent="0.25">
      <c r="A21" s="16" t="s">
        <v>183</v>
      </c>
    </row>
  </sheetData>
  <mergeCells count="1">
    <mergeCell ref="A1:D1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sqref="A1:E21"/>
    </sheetView>
  </sheetViews>
  <sheetFormatPr defaultColWidth="8.85546875" defaultRowHeight="15" x14ac:dyDescent="0.25"/>
  <cols>
    <col min="1" max="1" width="18.5703125" bestFit="1" customWidth="1"/>
    <col min="2" max="2" width="14.5703125" customWidth="1"/>
    <col min="3" max="3" width="14" customWidth="1"/>
    <col min="4" max="4" width="10.28515625" bestFit="1" customWidth="1"/>
    <col min="5" max="5" width="11.28515625" bestFit="1" customWidth="1"/>
  </cols>
  <sheetData>
    <row r="1" spans="1:5" x14ac:dyDescent="0.25">
      <c r="A1" s="28" t="s">
        <v>186</v>
      </c>
      <c r="B1" s="28"/>
      <c r="C1" s="28"/>
      <c r="D1" s="28"/>
      <c r="E1" s="28"/>
    </row>
    <row r="3" spans="1:5" x14ac:dyDescent="0.25">
      <c r="A3" t="s">
        <v>58</v>
      </c>
      <c r="B3" t="s">
        <v>59</v>
      </c>
      <c r="C3" t="s">
        <v>60</v>
      </c>
    </row>
    <row r="4" spans="1:5" x14ac:dyDescent="0.25">
      <c r="A4" t="s">
        <v>18</v>
      </c>
      <c r="B4" t="s">
        <v>56</v>
      </c>
      <c r="C4" s="8">
        <v>3000</v>
      </c>
    </row>
    <row r="5" spans="1:5" x14ac:dyDescent="0.25">
      <c r="A5" t="s">
        <v>18</v>
      </c>
      <c r="B5" t="s">
        <v>57</v>
      </c>
      <c r="C5" s="18">
        <v>15000</v>
      </c>
    </row>
    <row r="6" spans="1:5" x14ac:dyDescent="0.25">
      <c r="A6" t="s">
        <v>18</v>
      </c>
      <c r="B6" t="s">
        <v>55</v>
      </c>
      <c r="C6" s="18">
        <v>23000</v>
      </c>
    </row>
    <row r="7" spans="1:5" x14ac:dyDescent="0.25">
      <c r="A7" t="s">
        <v>19</v>
      </c>
      <c r="B7" t="s">
        <v>56</v>
      </c>
      <c r="C7" s="18">
        <v>12000</v>
      </c>
    </row>
    <row r="8" spans="1:5" x14ac:dyDescent="0.25">
      <c r="A8" t="s">
        <v>19</v>
      </c>
      <c r="B8" t="s">
        <v>57</v>
      </c>
      <c r="C8" s="18">
        <v>10000</v>
      </c>
    </row>
    <row r="9" spans="1:5" x14ac:dyDescent="0.25">
      <c r="A9" t="s">
        <v>19</v>
      </c>
      <c r="B9" t="s">
        <v>55</v>
      </c>
      <c r="C9" s="18">
        <v>5000</v>
      </c>
    </row>
    <row r="10" spans="1:5" x14ac:dyDescent="0.25">
      <c r="A10" t="s">
        <v>20</v>
      </c>
      <c r="B10" t="s">
        <v>56</v>
      </c>
      <c r="C10" s="18">
        <v>1000</v>
      </c>
    </row>
    <row r="11" spans="1:5" x14ac:dyDescent="0.25">
      <c r="A11" t="s">
        <v>20</v>
      </c>
      <c r="B11" t="s">
        <v>57</v>
      </c>
      <c r="C11" s="18">
        <v>500</v>
      </c>
    </row>
    <row r="12" spans="1:5" x14ac:dyDescent="0.25">
      <c r="A12" t="s">
        <v>20</v>
      </c>
      <c r="B12" t="s">
        <v>55</v>
      </c>
      <c r="C12" s="18">
        <v>12000</v>
      </c>
    </row>
    <row r="14" spans="1:5" x14ac:dyDescent="0.25">
      <c r="A14" t="s">
        <v>53</v>
      </c>
      <c r="B14" t="s">
        <v>58</v>
      </c>
    </row>
    <row r="15" spans="1:5" x14ac:dyDescent="0.25">
      <c r="A15" t="s">
        <v>59</v>
      </c>
      <c r="B15" t="s">
        <v>18</v>
      </c>
      <c r="C15" t="s">
        <v>19</v>
      </c>
      <c r="D15" t="s">
        <v>20</v>
      </c>
      <c r="E15" t="s">
        <v>54</v>
      </c>
    </row>
    <row r="16" spans="1:5" x14ac:dyDescent="0.25">
      <c r="A16" t="s">
        <v>55</v>
      </c>
      <c r="B16" s="8">
        <v>23000</v>
      </c>
      <c r="C16" s="18">
        <v>5000</v>
      </c>
      <c r="D16" s="18">
        <v>12000</v>
      </c>
      <c r="E16" s="18">
        <v>40000</v>
      </c>
    </row>
    <row r="17" spans="1:5" x14ac:dyDescent="0.25">
      <c r="A17" t="s">
        <v>56</v>
      </c>
      <c r="B17" s="18">
        <v>3000</v>
      </c>
      <c r="C17" s="18">
        <v>12000</v>
      </c>
      <c r="D17" s="18">
        <v>1000</v>
      </c>
      <c r="E17" s="18">
        <v>16000</v>
      </c>
    </row>
    <row r="18" spans="1:5" x14ac:dyDescent="0.25">
      <c r="A18" t="s">
        <v>57</v>
      </c>
      <c r="B18" s="18">
        <v>15000</v>
      </c>
      <c r="C18" s="18">
        <v>10000</v>
      </c>
      <c r="D18" s="18">
        <v>500</v>
      </c>
      <c r="E18" s="18">
        <v>25500</v>
      </c>
    </row>
    <row r="19" spans="1:5" x14ac:dyDescent="0.25">
      <c r="A19" t="s">
        <v>54</v>
      </c>
      <c r="B19" s="18">
        <v>41000</v>
      </c>
      <c r="C19" s="18">
        <v>27000</v>
      </c>
      <c r="D19" s="18">
        <v>13500</v>
      </c>
      <c r="E19" s="18">
        <v>81500</v>
      </c>
    </row>
    <row r="21" spans="1:5" x14ac:dyDescent="0.25">
      <c r="A21" s="17" t="s">
        <v>187</v>
      </c>
    </row>
  </sheetData>
  <mergeCells count="1">
    <mergeCell ref="A1:E1"/>
  </mergeCells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sqref="A1:E15"/>
    </sheetView>
  </sheetViews>
  <sheetFormatPr defaultColWidth="8.85546875" defaultRowHeight="15" x14ac:dyDescent="0.25"/>
  <cols>
    <col min="1" max="1" width="8.42578125" customWidth="1"/>
    <col min="2" max="2" width="9.5703125" customWidth="1"/>
    <col min="3" max="3" width="8" customWidth="1"/>
    <col min="4" max="4" width="16.5703125" customWidth="1"/>
    <col min="5" max="5" width="12.42578125" customWidth="1"/>
  </cols>
  <sheetData>
    <row r="1" spans="1:5" x14ac:dyDescent="0.25">
      <c r="A1" s="28" t="s">
        <v>188</v>
      </c>
      <c r="B1" s="28"/>
      <c r="C1" s="28"/>
      <c r="D1" s="28"/>
      <c r="E1" s="28"/>
    </row>
    <row r="3" spans="1:5" x14ac:dyDescent="0.25">
      <c r="A3" t="s">
        <v>0</v>
      </c>
      <c r="B3" t="s">
        <v>61</v>
      </c>
      <c r="C3" t="s">
        <v>62</v>
      </c>
      <c r="D3" t="s">
        <v>63</v>
      </c>
      <c r="E3" t="s">
        <v>64</v>
      </c>
    </row>
    <row r="4" spans="1:5" x14ac:dyDescent="0.25">
      <c r="A4" t="s">
        <v>3</v>
      </c>
      <c r="B4" t="s">
        <v>65</v>
      </c>
      <c r="C4" t="s">
        <v>66</v>
      </c>
      <c r="D4" t="s">
        <v>67</v>
      </c>
      <c r="E4" t="str">
        <f t="shared" ref="E4" si="0">_xlfn.TEXTJOIN("-",TRUE,B4:D4)</f>
        <v>SMD-IV-JAN</v>
      </c>
    </row>
    <row r="5" spans="1:5" x14ac:dyDescent="0.25">
      <c r="A5" t="s">
        <v>68</v>
      </c>
      <c r="B5" t="s">
        <v>69</v>
      </c>
      <c r="C5" t="s">
        <v>70</v>
      </c>
      <c r="D5" t="s">
        <v>71</v>
      </c>
    </row>
    <row r="6" spans="1:5" x14ac:dyDescent="0.25">
      <c r="A6" s="4" t="s">
        <v>41</v>
      </c>
      <c r="B6" s="4" t="s">
        <v>72</v>
      </c>
      <c r="C6" s="4" t="s">
        <v>73</v>
      </c>
      <c r="D6" s="4" t="s">
        <v>74</v>
      </c>
    </row>
    <row r="7" spans="1:5" x14ac:dyDescent="0.25">
      <c r="A7" s="4" t="s">
        <v>6</v>
      </c>
      <c r="B7" s="4" t="s">
        <v>75</v>
      </c>
      <c r="C7" s="4" t="s">
        <v>76</v>
      </c>
      <c r="D7" s="4" t="s">
        <v>77</v>
      </c>
    </row>
    <row r="8" spans="1:5" x14ac:dyDescent="0.25">
      <c r="A8" s="4" t="s">
        <v>5</v>
      </c>
      <c r="B8" s="4" t="s">
        <v>78</v>
      </c>
      <c r="C8" s="4" t="s">
        <v>66</v>
      </c>
      <c r="D8" s="4" t="s">
        <v>79</v>
      </c>
    </row>
    <row r="9" spans="1:5" x14ac:dyDescent="0.25">
      <c r="A9" s="4" t="s">
        <v>8</v>
      </c>
      <c r="B9" s="4" t="s">
        <v>80</v>
      </c>
      <c r="C9" s="4" t="s">
        <v>81</v>
      </c>
      <c r="D9" s="4" t="s">
        <v>82</v>
      </c>
    </row>
    <row r="10" spans="1:5" x14ac:dyDescent="0.25">
      <c r="A10" s="4" t="s">
        <v>7</v>
      </c>
      <c r="B10" s="4" t="s">
        <v>83</v>
      </c>
      <c r="C10" s="4" t="s">
        <v>84</v>
      </c>
      <c r="D10" s="4" t="s">
        <v>85</v>
      </c>
    </row>
    <row r="11" spans="1:5" x14ac:dyDescent="0.25">
      <c r="A11" s="4" t="s">
        <v>9</v>
      </c>
      <c r="B11" s="4" t="s">
        <v>86</v>
      </c>
      <c r="C11" s="4" t="s">
        <v>87</v>
      </c>
      <c r="D11" s="4" t="s">
        <v>88</v>
      </c>
    </row>
    <row r="12" spans="1:5" x14ac:dyDescent="0.25">
      <c r="A12" s="4" t="s">
        <v>10</v>
      </c>
      <c r="B12" s="4" t="s">
        <v>89</v>
      </c>
      <c r="C12" s="4" t="s">
        <v>90</v>
      </c>
      <c r="D12" s="4" t="s">
        <v>91</v>
      </c>
    </row>
    <row r="13" spans="1:5" x14ac:dyDescent="0.25">
      <c r="A13" s="4" t="s">
        <v>11</v>
      </c>
      <c r="B13" s="4" t="s">
        <v>92</v>
      </c>
      <c r="C13" s="4" t="s">
        <v>93</v>
      </c>
      <c r="D13" s="4" t="s">
        <v>94</v>
      </c>
    </row>
    <row r="15" spans="1:5" x14ac:dyDescent="0.25">
      <c r="A15" s="16" t="s">
        <v>189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sqref="A1:E12"/>
    </sheetView>
  </sheetViews>
  <sheetFormatPr defaultColWidth="8.85546875" defaultRowHeight="15" x14ac:dyDescent="0.25"/>
  <cols>
    <col min="1" max="1" width="9.42578125" bestFit="1" customWidth="1"/>
    <col min="2" max="2" width="14.85546875" bestFit="1" customWidth="1"/>
    <col min="3" max="3" width="9.5703125" bestFit="1" customWidth="1"/>
    <col min="4" max="4" width="14.7109375" bestFit="1" customWidth="1"/>
    <col min="5" max="5" width="15" bestFit="1" customWidth="1"/>
  </cols>
  <sheetData>
    <row r="1" spans="1:5" x14ac:dyDescent="0.25">
      <c r="A1" s="28" t="s">
        <v>190</v>
      </c>
      <c r="B1" s="28"/>
      <c r="C1" s="28"/>
      <c r="D1" s="28"/>
      <c r="E1" s="28"/>
    </row>
    <row r="3" spans="1:5" x14ac:dyDescent="0.25">
      <c r="A3" t="s">
        <v>95</v>
      </c>
      <c r="B3" t="s">
        <v>17</v>
      </c>
      <c r="C3" t="s">
        <v>96</v>
      </c>
      <c r="D3" t="s">
        <v>97</v>
      </c>
      <c r="E3" t="s">
        <v>98</v>
      </c>
    </row>
    <row r="4" spans="1:5" x14ac:dyDescent="0.25">
      <c r="A4">
        <v>1</v>
      </c>
      <c r="B4" t="s">
        <v>99</v>
      </c>
      <c r="C4">
        <v>10</v>
      </c>
      <c r="D4" s="8">
        <v>10000</v>
      </c>
      <c r="E4" s="8">
        <f t="shared" ref="E4" si="0">C4*D4</f>
        <v>100000</v>
      </c>
    </row>
    <row r="5" spans="1:5" x14ac:dyDescent="0.25">
      <c r="A5">
        <f>A4+1</f>
        <v>2</v>
      </c>
      <c r="B5" t="s">
        <v>100</v>
      </c>
      <c r="C5">
        <v>5</v>
      </c>
      <c r="D5" s="18">
        <v>3000</v>
      </c>
      <c r="E5" s="8"/>
    </row>
    <row r="6" spans="1:5" x14ac:dyDescent="0.25">
      <c r="A6">
        <f>A5+1</f>
        <v>3</v>
      </c>
      <c r="B6" t="s">
        <v>101</v>
      </c>
      <c r="C6">
        <v>2</v>
      </c>
      <c r="D6" s="18">
        <v>8000</v>
      </c>
      <c r="E6" s="8"/>
    </row>
    <row r="7" spans="1:5" x14ac:dyDescent="0.25">
      <c r="A7">
        <f>A6+1</f>
        <v>4</v>
      </c>
      <c r="B7" t="s">
        <v>102</v>
      </c>
      <c r="C7">
        <v>2</v>
      </c>
      <c r="D7" s="18">
        <v>45000</v>
      </c>
      <c r="E7" s="8"/>
    </row>
    <row r="8" spans="1:5" x14ac:dyDescent="0.25">
      <c r="A8">
        <f>A7+1</f>
        <v>5</v>
      </c>
      <c r="B8" t="s">
        <v>103</v>
      </c>
      <c r="C8">
        <v>4</v>
      </c>
      <c r="D8" s="18">
        <v>3500</v>
      </c>
      <c r="E8" s="8"/>
    </row>
    <row r="9" spans="1:5" x14ac:dyDescent="0.25">
      <c r="D9" s="9" t="s">
        <v>21</v>
      </c>
      <c r="E9" s="8"/>
    </row>
    <row r="11" spans="1:5" x14ac:dyDescent="0.25">
      <c r="A11" s="16" t="s">
        <v>191</v>
      </c>
    </row>
    <row r="12" spans="1:5" x14ac:dyDescent="0.25">
      <c r="A12" s="17" t="s">
        <v>179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>
      <selection sqref="A1:B15"/>
    </sheetView>
  </sheetViews>
  <sheetFormatPr defaultColWidth="8.85546875" defaultRowHeight="15" x14ac:dyDescent="0.25"/>
  <cols>
    <col min="1" max="1" width="18" customWidth="1"/>
    <col min="2" max="2" width="11.42578125" customWidth="1"/>
  </cols>
  <sheetData>
    <row r="1" spans="1:2" x14ac:dyDescent="0.25">
      <c r="A1" s="28" t="s">
        <v>193</v>
      </c>
      <c r="B1" s="28"/>
    </row>
    <row r="3" spans="1:2" x14ac:dyDescent="0.25">
      <c r="A3" t="s">
        <v>28</v>
      </c>
      <c r="B3" t="s">
        <v>104</v>
      </c>
    </row>
    <row r="4" spans="1:2" x14ac:dyDescent="0.25">
      <c r="A4" s="7">
        <v>45363</v>
      </c>
      <c r="B4" t="str">
        <f t="shared" ref="B4" si="0">TEXT(A4,"dddd")</f>
        <v>Tuesday</v>
      </c>
    </row>
    <row r="5" spans="1:2" x14ac:dyDescent="0.25">
      <c r="A5" s="18" t="s">
        <v>195</v>
      </c>
    </row>
    <row r="6" spans="1:2" x14ac:dyDescent="0.25">
      <c r="A6" s="22" t="s">
        <v>196</v>
      </c>
    </row>
    <row r="7" spans="1:2" x14ac:dyDescent="0.25">
      <c r="A7" s="22" t="s">
        <v>197</v>
      </c>
    </row>
    <row r="8" spans="1:2" x14ac:dyDescent="0.25">
      <c r="A8" s="22" t="s">
        <v>198</v>
      </c>
    </row>
    <row r="9" spans="1:2" x14ac:dyDescent="0.25">
      <c r="A9" s="22" t="s">
        <v>199</v>
      </c>
    </row>
    <row r="10" spans="1:2" x14ac:dyDescent="0.25">
      <c r="A10" s="22" t="s">
        <v>200</v>
      </c>
    </row>
    <row r="11" spans="1:2" x14ac:dyDescent="0.25">
      <c r="A11" s="22" t="s">
        <v>201</v>
      </c>
    </row>
    <row r="12" spans="1:2" x14ac:dyDescent="0.25">
      <c r="A12" s="22" t="s">
        <v>202</v>
      </c>
    </row>
    <row r="13" spans="1:2" x14ac:dyDescent="0.25">
      <c r="A13" s="22" t="s">
        <v>203</v>
      </c>
    </row>
    <row r="15" spans="1:2" x14ac:dyDescent="0.25">
      <c r="A15" s="24" t="s">
        <v>194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5"/>
  <sheetViews>
    <sheetView workbookViewId="0">
      <selection sqref="A1:C15"/>
    </sheetView>
  </sheetViews>
  <sheetFormatPr defaultColWidth="8.85546875" defaultRowHeight="15" x14ac:dyDescent="0.25"/>
  <cols>
    <col min="1" max="1" width="14.5703125" customWidth="1"/>
    <col min="2" max="2" width="17" customWidth="1"/>
    <col min="3" max="3" width="16.28515625" customWidth="1"/>
    <col min="5" max="5" width="10.85546875" customWidth="1"/>
  </cols>
  <sheetData>
    <row r="1" spans="1:3" x14ac:dyDescent="0.25">
      <c r="A1" s="28" t="s">
        <v>192</v>
      </c>
      <c r="B1" s="28"/>
      <c r="C1" s="28"/>
    </row>
    <row r="3" spans="1:3" x14ac:dyDescent="0.25">
      <c r="A3" t="s">
        <v>105</v>
      </c>
      <c r="B3" t="s">
        <v>106</v>
      </c>
      <c r="C3" t="s">
        <v>27</v>
      </c>
    </row>
    <row r="4" spans="1:3" x14ac:dyDescent="0.25">
      <c r="A4" t="s">
        <v>107</v>
      </c>
      <c r="B4" t="s">
        <v>6</v>
      </c>
      <c r="C4" t="s">
        <v>108</v>
      </c>
    </row>
    <row r="5" spans="1:3" x14ac:dyDescent="0.25">
      <c r="A5" t="s">
        <v>109</v>
      </c>
      <c r="B5" t="s">
        <v>110</v>
      </c>
    </row>
    <row r="6" spans="1:3" x14ac:dyDescent="0.25">
      <c r="A6" s="4" t="s">
        <v>7</v>
      </c>
      <c r="B6" s="4" t="s">
        <v>111</v>
      </c>
    </row>
    <row r="7" spans="1:3" x14ac:dyDescent="0.25">
      <c r="A7" s="4" t="s">
        <v>6</v>
      </c>
      <c r="B7" s="4" t="s">
        <v>112</v>
      </c>
    </row>
    <row r="8" spans="1:3" x14ac:dyDescent="0.25">
      <c r="A8" s="4" t="s">
        <v>5</v>
      </c>
      <c r="B8" s="4" t="s">
        <v>113</v>
      </c>
    </row>
    <row r="9" spans="1:3" x14ac:dyDescent="0.25">
      <c r="A9" s="4" t="s">
        <v>46</v>
      </c>
      <c r="B9" s="4" t="s">
        <v>114</v>
      </c>
    </row>
    <row r="10" spans="1:3" x14ac:dyDescent="0.25">
      <c r="A10" s="4" t="s">
        <v>11</v>
      </c>
      <c r="B10" s="4" t="s">
        <v>48</v>
      </c>
    </row>
    <row r="11" spans="1:3" x14ac:dyDescent="0.25">
      <c r="A11" s="4" t="s">
        <v>8</v>
      </c>
      <c r="B11" s="4" t="s">
        <v>115</v>
      </c>
    </row>
    <row r="12" spans="1:3" x14ac:dyDescent="0.25">
      <c r="A12" s="4" t="s">
        <v>10</v>
      </c>
      <c r="B12" s="4" t="s">
        <v>116</v>
      </c>
    </row>
    <row r="13" spans="1:3" x14ac:dyDescent="0.25">
      <c r="A13" s="4" t="s">
        <v>9</v>
      </c>
      <c r="B13" s="4" t="s">
        <v>117</v>
      </c>
    </row>
    <row r="15" spans="1:3" x14ac:dyDescent="0.25">
      <c r="A15" s="17" t="s">
        <v>204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5"/>
  <sheetViews>
    <sheetView workbookViewId="0">
      <selection sqref="A1:C15"/>
    </sheetView>
  </sheetViews>
  <sheetFormatPr defaultColWidth="8.85546875" defaultRowHeight="15" x14ac:dyDescent="0.25"/>
  <cols>
    <col min="1" max="1" width="24.7109375" customWidth="1"/>
    <col min="2" max="2" width="18.7109375" customWidth="1"/>
    <col min="3" max="3" width="8.7109375" customWidth="1"/>
  </cols>
  <sheetData>
    <row r="1" spans="1:3" x14ac:dyDescent="0.25">
      <c r="A1" s="28" t="s">
        <v>205</v>
      </c>
      <c r="B1" s="28"/>
      <c r="C1" s="28"/>
    </row>
    <row r="3" spans="1:3" x14ac:dyDescent="0.25">
      <c r="A3" t="s">
        <v>118</v>
      </c>
      <c r="B3" t="s">
        <v>119</v>
      </c>
      <c r="C3" t="s">
        <v>120</v>
      </c>
    </row>
    <row r="4" spans="1:3" x14ac:dyDescent="0.25">
      <c r="A4" t="s">
        <v>121</v>
      </c>
      <c r="B4" t="s">
        <v>122</v>
      </c>
      <c r="C4">
        <v>2014</v>
      </c>
    </row>
    <row r="5" spans="1:3" x14ac:dyDescent="0.25">
      <c r="A5" t="s">
        <v>123</v>
      </c>
    </row>
    <row r="6" spans="1:3" x14ac:dyDescent="0.25">
      <c r="A6" s="4" t="s">
        <v>124</v>
      </c>
    </row>
    <row r="7" spans="1:3" x14ac:dyDescent="0.25">
      <c r="A7" s="4" t="s">
        <v>125</v>
      </c>
    </row>
    <row r="8" spans="1:3" x14ac:dyDescent="0.25">
      <c r="A8" s="4" t="s">
        <v>126</v>
      </c>
    </row>
    <row r="9" spans="1:3" x14ac:dyDescent="0.25">
      <c r="A9" s="4" t="s">
        <v>127</v>
      </c>
    </row>
    <row r="10" spans="1:3" x14ac:dyDescent="0.25">
      <c r="A10" s="4" t="s">
        <v>128</v>
      </c>
    </row>
    <row r="11" spans="1:3" x14ac:dyDescent="0.25">
      <c r="A11" s="4" t="s">
        <v>129</v>
      </c>
    </row>
    <row r="12" spans="1:3" x14ac:dyDescent="0.25">
      <c r="A12" s="4" t="s">
        <v>130</v>
      </c>
    </row>
    <row r="13" spans="1:3" x14ac:dyDescent="0.25">
      <c r="A13" s="4" t="s">
        <v>131</v>
      </c>
    </row>
    <row r="15" spans="1:3" x14ac:dyDescent="0.25">
      <c r="A15" s="17" t="s">
        <v>204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>
      <selection sqref="A1:B12"/>
    </sheetView>
  </sheetViews>
  <sheetFormatPr defaultColWidth="8.85546875" defaultRowHeight="15" x14ac:dyDescent="0.25"/>
  <cols>
    <col min="1" max="1" width="13.140625" bestFit="1" customWidth="1"/>
    <col min="2" max="2" width="12.7109375" customWidth="1"/>
  </cols>
  <sheetData>
    <row r="1" spans="1:2" x14ac:dyDescent="0.25">
      <c r="A1" s="28" t="s">
        <v>207</v>
      </c>
      <c r="B1" s="28"/>
    </row>
    <row r="3" spans="1:2" x14ac:dyDescent="0.25">
      <c r="A3" t="s">
        <v>132</v>
      </c>
      <c r="B3" t="s">
        <v>133</v>
      </c>
    </row>
    <row r="4" spans="1:2" x14ac:dyDescent="0.25">
      <c r="A4" t="s">
        <v>134</v>
      </c>
      <c r="B4" s="3">
        <v>10</v>
      </c>
    </row>
    <row r="5" spans="1:2" x14ac:dyDescent="0.25">
      <c r="A5" t="s">
        <v>135</v>
      </c>
      <c r="B5" s="25">
        <v>2</v>
      </c>
    </row>
    <row r="6" spans="1:2" x14ac:dyDescent="0.25">
      <c r="A6" t="s">
        <v>136</v>
      </c>
      <c r="B6" s="25">
        <v>4</v>
      </c>
    </row>
    <row r="7" spans="1:2" x14ac:dyDescent="0.25">
      <c r="A7" s="4" t="s">
        <v>137</v>
      </c>
      <c r="B7" s="25">
        <v>12</v>
      </c>
    </row>
    <row r="8" spans="1:2" x14ac:dyDescent="0.25">
      <c r="A8" s="4" t="s">
        <v>138</v>
      </c>
      <c r="B8" s="25">
        <v>6</v>
      </c>
    </row>
    <row r="9" spans="1:2" x14ac:dyDescent="0.25">
      <c r="A9" s="5" t="s">
        <v>21</v>
      </c>
      <c r="B9" s="25"/>
    </row>
    <row r="10" spans="1:2" x14ac:dyDescent="0.25">
      <c r="A10" s="4"/>
    </row>
    <row r="11" spans="1:2" x14ac:dyDescent="0.25">
      <c r="A11" s="17" t="s">
        <v>206</v>
      </c>
      <c r="B11" s="6"/>
    </row>
    <row r="12" spans="1:2" x14ac:dyDescent="0.25">
      <c r="A12" s="26" t="s">
        <v>179</v>
      </c>
      <c r="B12" s="6"/>
    </row>
    <row r="13" spans="1:2" x14ac:dyDescent="0.25">
      <c r="A13" s="4"/>
      <c r="B13" s="6"/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workbookViewId="0">
      <selection sqref="A1:C10"/>
    </sheetView>
  </sheetViews>
  <sheetFormatPr defaultColWidth="8.85546875" defaultRowHeight="15" x14ac:dyDescent="0.25"/>
  <cols>
    <col min="1" max="1" width="8.42578125" customWidth="1"/>
    <col min="2" max="2" width="7.42578125" customWidth="1"/>
    <col min="3" max="3" width="10.28515625" customWidth="1"/>
  </cols>
  <sheetData>
    <row r="1" spans="1:3" x14ac:dyDescent="0.25">
      <c r="A1" s="28" t="s">
        <v>208</v>
      </c>
      <c r="B1" s="28"/>
      <c r="C1" s="28"/>
    </row>
    <row r="3" spans="1:3" x14ac:dyDescent="0.25">
      <c r="A3" t="s">
        <v>0</v>
      </c>
      <c r="B3" t="s">
        <v>139</v>
      </c>
      <c r="C3" t="s">
        <v>140</v>
      </c>
    </row>
    <row r="4" spans="1:3" x14ac:dyDescent="0.25">
      <c r="A4" t="s">
        <v>3</v>
      </c>
      <c r="B4">
        <v>89</v>
      </c>
      <c r="C4">
        <f>RANK(B4,$B$4:$B$8,0)</f>
        <v>4</v>
      </c>
    </row>
    <row r="5" spans="1:3" x14ac:dyDescent="0.25">
      <c r="A5" t="s">
        <v>141</v>
      </c>
      <c r="B5">
        <v>90</v>
      </c>
    </row>
    <row r="6" spans="1:3" x14ac:dyDescent="0.25">
      <c r="A6" t="s">
        <v>142</v>
      </c>
      <c r="B6">
        <v>80</v>
      </c>
    </row>
    <row r="7" spans="1:3" x14ac:dyDescent="0.25">
      <c r="A7" t="s">
        <v>143</v>
      </c>
      <c r="B7">
        <v>99</v>
      </c>
    </row>
    <row r="8" spans="1:3" x14ac:dyDescent="0.25">
      <c r="A8" t="s">
        <v>144</v>
      </c>
      <c r="B8">
        <v>97</v>
      </c>
    </row>
    <row r="10" spans="1:3" x14ac:dyDescent="0.25">
      <c r="A10" s="16" t="s">
        <v>209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workbookViewId="0">
      <selection sqref="A1:C8"/>
    </sheetView>
  </sheetViews>
  <sheetFormatPr defaultColWidth="8.85546875" defaultRowHeight="15" x14ac:dyDescent="0.25"/>
  <cols>
    <col min="1" max="1" width="11.28515625" customWidth="1"/>
    <col min="2" max="2" width="25" customWidth="1"/>
    <col min="3" max="3" width="28.5703125" customWidth="1"/>
  </cols>
  <sheetData>
    <row r="1" spans="1:3" x14ac:dyDescent="0.25">
      <c r="A1" s="28" t="s">
        <v>210</v>
      </c>
      <c r="B1" s="28"/>
      <c r="C1" s="28"/>
    </row>
    <row r="3" spans="1:3" x14ac:dyDescent="0.25">
      <c r="A3" t="s">
        <v>145</v>
      </c>
      <c r="B3" t="s">
        <v>1</v>
      </c>
      <c r="C3" t="s">
        <v>146</v>
      </c>
    </row>
    <row r="4" spans="1:3" x14ac:dyDescent="0.25">
      <c r="A4" t="s">
        <v>147</v>
      </c>
      <c r="B4" s="1">
        <v>44816</v>
      </c>
      <c r="C4" t="s">
        <v>148</v>
      </c>
    </row>
    <row r="5" spans="1:3" x14ac:dyDescent="0.25">
      <c r="A5" t="s">
        <v>149</v>
      </c>
      <c r="B5" s="18" t="s">
        <v>211</v>
      </c>
    </row>
    <row r="6" spans="1:3" x14ac:dyDescent="0.25">
      <c r="A6" t="s">
        <v>150</v>
      </c>
      <c r="B6" s="18" t="s">
        <v>212</v>
      </c>
    </row>
    <row r="8" spans="1:3" x14ac:dyDescent="0.25">
      <c r="A8" s="17" t="s">
        <v>204</v>
      </c>
    </row>
    <row r="10" spans="1:3" x14ac:dyDescent="0.25">
      <c r="B10" s="2"/>
    </row>
  </sheetData>
  <mergeCells count="1">
    <mergeCell ref="A1:C1"/>
  </mergeCells>
  <pageMargins left="0.75" right="0.75" top="1" bottom="1" header="0.5" footer="0.5"/>
  <pageSetup paperSize="9"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workbookViewId="0">
      <selection sqref="A1:B9"/>
    </sheetView>
  </sheetViews>
  <sheetFormatPr defaultColWidth="8.85546875" defaultRowHeight="15" x14ac:dyDescent="0.25"/>
  <cols>
    <col min="1" max="1" width="20.28515625" customWidth="1"/>
    <col min="2" max="2" width="15.42578125" customWidth="1"/>
  </cols>
  <sheetData>
    <row r="1" spans="1:2" x14ac:dyDescent="0.25">
      <c r="A1" s="28" t="s">
        <v>213</v>
      </c>
      <c r="B1" s="28"/>
    </row>
    <row r="3" spans="1:2" x14ac:dyDescent="0.25">
      <c r="A3" t="s">
        <v>27</v>
      </c>
      <c r="B3" t="s">
        <v>151</v>
      </c>
    </row>
    <row r="4" spans="1:2" x14ac:dyDescent="0.25">
      <c r="A4" t="s">
        <v>152</v>
      </c>
      <c r="B4" t="s">
        <v>110</v>
      </c>
    </row>
    <row r="5" spans="1:2" x14ac:dyDescent="0.25">
      <c r="A5" t="s">
        <v>153</v>
      </c>
    </row>
    <row r="6" spans="1:2" x14ac:dyDescent="0.25">
      <c r="A6" t="s">
        <v>154</v>
      </c>
    </row>
    <row r="7" spans="1:2" x14ac:dyDescent="0.25">
      <c r="A7" t="s">
        <v>155</v>
      </c>
    </row>
    <row r="9" spans="1:2" x14ac:dyDescent="0.25">
      <c r="A9" s="17" t="s">
        <v>204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40B8-EDD8-4D06-AAE3-130B002F8663}">
  <sheetPr>
    <pageSetUpPr fitToPage="1"/>
  </sheetPr>
  <dimension ref="A1:E207"/>
  <sheetViews>
    <sheetView tabSelected="1" topLeftCell="A181" workbookViewId="0">
      <selection activeCell="D201" sqref="D201"/>
    </sheetView>
  </sheetViews>
  <sheetFormatPr defaultRowHeight="15" x14ac:dyDescent="0.25"/>
  <cols>
    <col min="1" max="1" width="25.140625" bestFit="1" customWidth="1"/>
    <col min="2" max="2" width="24.140625" bestFit="1" customWidth="1"/>
    <col min="3" max="3" width="28.5703125" bestFit="1" customWidth="1"/>
    <col min="4" max="4" width="20.28515625" bestFit="1" customWidth="1"/>
    <col min="5" max="5" width="15" bestFit="1" customWidth="1"/>
  </cols>
  <sheetData>
    <row r="1" spans="1:5" x14ac:dyDescent="0.25">
      <c r="A1" s="29" t="s">
        <v>175</v>
      </c>
      <c r="B1" s="29"/>
      <c r="C1" s="29"/>
      <c r="D1" s="30"/>
      <c r="E1" s="30"/>
    </row>
    <row r="2" spans="1:5" x14ac:dyDescent="0.25">
      <c r="A2" s="30"/>
      <c r="B2" s="30"/>
      <c r="C2" s="30"/>
      <c r="D2" s="30"/>
      <c r="E2" s="30"/>
    </row>
    <row r="3" spans="1:5" x14ac:dyDescent="0.25">
      <c r="A3" s="27" t="s">
        <v>0</v>
      </c>
      <c r="B3" s="27" t="s">
        <v>1</v>
      </c>
      <c r="C3" s="27" t="s">
        <v>2</v>
      </c>
      <c r="D3" s="30"/>
      <c r="E3" s="30"/>
    </row>
    <row r="4" spans="1:5" x14ac:dyDescent="0.25">
      <c r="A4" s="30" t="s">
        <v>3</v>
      </c>
      <c r="B4" s="31">
        <v>33116</v>
      </c>
      <c r="C4" s="32">
        <f t="shared" ref="C4" ca="1" si="0">DATEDIF(B4,TODAY(),"y")</f>
        <v>35</v>
      </c>
      <c r="D4" s="30"/>
      <c r="E4" s="30"/>
    </row>
    <row r="5" spans="1:5" x14ac:dyDescent="0.25">
      <c r="A5" s="30" t="s">
        <v>4</v>
      </c>
      <c r="B5" s="33" t="s">
        <v>156</v>
      </c>
      <c r="C5" s="30"/>
      <c r="D5" s="30"/>
      <c r="E5" s="30"/>
    </row>
    <row r="6" spans="1:5" x14ac:dyDescent="0.25">
      <c r="A6" s="34" t="s">
        <v>5</v>
      </c>
      <c r="B6" s="35" t="s">
        <v>157</v>
      </c>
      <c r="C6" s="30"/>
      <c r="D6" s="30"/>
      <c r="E6" s="30"/>
    </row>
    <row r="7" spans="1:5" x14ac:dyDescent="0.25">
      <c r="A7" s="34" t="s">
        <v>6</v>
      </c>
      <c r="B7" s="35" t="s">
        <v>158</v>
      </c>
      <c r="C7" s="30"/>
      <c r="D7" s="30"/>
      <c r="E7" s="30"/>
    </row>
    <row r="8" spans="1:5" x14ac:dyDescent="0.25">
      <c r="A8" s="34" t="s">
        <v>7</v>
      </c>
      <c r="B8" s="35" t="s">
        <v>159</v>
      </c>
      <c r="C8" s="30"/>
      <c r="D8" s="30"/>
      <c r="E8" s="30"/>
    </row>
    <row r="9" spans="1:5" x14ac:dyDescent="0.25">
      <c r="A9" s="34" t="s">
        <v>8</v>
      </c>
      <c r="B9" s="35" t="s">
        <v>160</v>
      </c>
      <c r="C9" s="30"/>
      <c r="D9" s="30"/>
      <c r="E9" s="30"/>
    </row>
    <row r="10" spans="1:5" x14ac:dyDescent="0.25">
      <c r="A10" s="34" t="s">
        <v>9</v>
      </c>
      <c r="B10" s="35" t="s">
        <v>161</v>
      </c>
      <c r="C10" s="30"/>
      <c r="D10" s="30"/>
      <c r="E10" s="30"/>
    </row>
    <row r="11" spans="1:5" x14ac:dyDescent="0.25">
      <c r="A11" s="34" t="s">
        <v>10</v>
      </c>
      <c r="B11" s="35" t="s">
        <v>162</v>
      </c>
      <c r="C11" s="30"/>
      <c r="D11" s="30"/>
      <c r="E11" s="30"/>
    </row>
    <row r="12" spans="1:5" x14ac:dyDescent="0.25">
      <c r="A12" s="34" t="s">
        <v>11</v>
      </c>
      <c r="B12" s="35" t="s">
        <v>163</v>
      </c>
      <c r="C12" s="30"/>
      <c r="D12" s="30"/>
      <c r="E12" s="30"/>
    </row>
    <row r="13" spans="1:5" x14ac:dyDescent="0.25">
      <c r="A13" s="34" t="s">
        <v>12</v>
      </c>
      <c r="B13" s="35" t="s">
        <v>164</v>
      </c>
      <c r="C13" s="30"/>
      <c r="D13" s="30"/>
      <c r="E13" s="30"/>
    </row>
    <row r="14" spans="1:5" x14ac:dyDescent="0.25">
      <c r="A14" s="30"/>
      <c r="B14" s="30"/>
      <c r="C14" s="30"/>
      <c r="D14" s="30"/>
      <c r="E14" s="30"/>
    </row>
    <row r="15" spans="1:5" x14ac:dyDescent="0.25">
      <c r="A15" s="36" t="s">
        <v>181</v>
      </c>
      <c r="B15" s="30"/>
      <c r="C15" s="30"/>
      <c r="D15" s="30"/>
      <c r="E15" s="30"/>
    </row>
    <row r="16" spans="1:5" x14ac:dyDescent="0.25">
      <c r="A16" s="30" t="s">
        <v>182</v>
      </c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29" t="s">
        <v>176</v>
      </c>
      <c r="B18" s="29"/>
      <c r="C18" s="29"/>
      <c r="D18" s="29"/>
      <c r="E18" s="30"/>
    </row>
    <row r="19" spans="1:5" x14ac:dyDescent="0.25">
      <c r="A19" s="30"/>
      <c r="B19" s="30"/>
      <c r="C19" s="30"/>
      <c r="D19" s="30"/>
      <c r="E19" s="30"/>
    </row>
    <row r="20" spans="1:5" x14ac:dyDescent="0.25">
      <c r="A20" s="27" t="s">
        <v>0</v>
      </c>
      <c r="B20" s="27" t="s">
        <v>13</v>
      </c>
      <c r="C20" s="27" t="s">
        <v>14</v>
      </c>
      <c r="D20" s="27" t="s">
        <v>15</v>
      </c>
      <c r="E20" s="30"/>
    </row>
    <row r="21" spans="1:5" x14ac:dyDescent="0.25">
      <c r="A21" s="30" t="s">
        <v>3</v>
      </c>
      <c r="B21" s="37">
        <v>300000</v>
      </c>
      <c r="C21" s="31">
        <v>45535</v>
      </c>
      <c r="D21" s="30">
        <f t="shared" ref="D21" ca="1" si="1">_xlfn.DAYS(C21,TODAY())</f>
        <v>-494</v>
      </c>
      <c r="E21" s="30"/>
    </row>
    <row r="22" spans="1:5" x14ac:dyDescent="0.25">
      <c r="A22" s="30" t="s">
        <v>16</v>
      </c>
      <c r="B22" s="38">
        <v>5000</v>
      </c>
      <c r="C22" s="33" t="s">
        <v>165</v>
      </c>
      <c r="D22" s="30"/>
      <c r="E22" s="30"/>
    </row>
    <row r="23" spans="1:5" x14ac:dyDescent="0.25">
      <c r="A23" s="34" t="s">
        <v>6</v>
      </c>
      <c r="B23" s="39">
        <v>150000</v>
      </c>
      <c r="C23" s="35" t="s">
        <v>166</v>
      </c>
      <c r="D23" s="30"/>
      <c r="E23" s="30"/>
    </row>
    <row r="24" spans="1:5" x14ac:dyDescent="0.25">
      <c r="A24" s="34" t="s">
        <v>5</v>
      </c>
      <c r="B24" s="39">
        <v>75000</v>
      </c>
      <c r="C24" s="35" t="s">
        <v>167</v>
      </c>
      <c r="D24" s="30"/>
      <c r="E24" s="30"/>
    </row>
    <row r="25" spans="1:5" x14ac:dyDescent="0.25">
      <c r="A25" s="34" t="s">
        <v>8</v>
      </c>
      <c r="B25" s="39">
        <v>250000</v>
      </c>
      <c r="C25" s="35" t="s">
        <v>168</v>
      </c>
      <c r="D25" s="30"/>
      <c r="E25" s="30"/>
    </row>
    <row r="26" spans="1:5" x14ac:dyDescent="0.25">
      <c r="A26" s="34" t="s">
        <v>7</v>
      </c>
      <c r="B26" s="39">
        <v>50000</v>
      </c>
      <c r="C26" s="35" t="s">
        <v>169</v>
      </c>
      <c r="D26" s="30"/>
      <c r="E26" s="30"/>
    </row>
    <row r="27" spans="1:5" x14ac:dyDescent="0.25">
      <c r="A27" s="34" t="s">
        <v>9</v>
      </c>
      <c r="B27" s="39">
        <v>100000</v>
      </c>
      <c r="C27" s="35" t="s">
        <v>170</v>
      </c>
      <c r="D27" s="30"/>
      <c r="E27" s="30"/>
    </row>
    <row r="28" spans="1:5" x14ac:dyDescent="0.25">
      <c r="A28" s="34" t="s">
        <v>10</v>
      </c>
      <c r="B28" s="39">
        <v>200000</v>
      </c>
      <c r="C28" s="35" t="s">
        <v>171</v>
      </c>
      <c r="D28" s="30"/>
      <c r="E28" s="30"/>
    </row>
    <row r="29" spans="1:5" x14ac:dyDescent="0.25">
      <c r="A29" s="34" t="s">
        <v>11</v>
      </c>
      <c r="B29" s="39">
        <v>120000</v>
      </c>
      <c r="C29" s="35" t="s">
        <v>172</v>
      </c>
      <c r="D29" s="30"/>
      <c r="E29" s="30"/>
    </row>
    <row r="30" spans="1:5" x14ac:dyDescent="0.25">
      <c r="A30" s="34" t="s">
        <v>12</v>
      </c>
      <c r="B30" s="39">
        <v>90000</v>
      </c>
      <c r="C30" s="35" t="s">
        <v>173</v>
      </c>
      <c r="D30" s="30"/>
      <c r="E30" s="30"/>
    </row>
    <row r="31" spans="1:5" x14ac:dyDescent="0.25">
      <c r="A31" s="30"/>
      <c r="B31" s="30"/>
      <c r="C31" s="30"/>
      <c r="D31" s="30"/>
      <c r="E31" s="30"/>
    </row>
    <row r="32" spans="1:5" x14ac:dyDescent="0.25">
      <c r="A32" s="36" t="s">
        <v>174</v>
      </c>
      <c r="B32" s="30"/>
      <c r="C32" s="30"/>
      <c r="D32" s="30"/>
      <c r="E32" s="30"/>
    </row>
    <row r="33" spans="1:5" x14ac:dyDescent="0.25">
      <c r="A33" s="40" t="s">
        <v>177</v>
      </c>
      <c r="B33" s="40"/>
      <c r="C33" s="40"/>
      <c r="D33" s="40"/>
      <c r="E33" s="30"/>
    </row>
    <row r="34" spans="1:5" x14ac:dyDescent="0.25">
      <c r="A34" s="30"/>
      <c r="B34" s="30"/>
      <c r="C34" s="30"/>
      <c r="D34" s="30"/>
      <c r="E34" s="30"/>
    </row>
    <row r="35" spans="1:5" x14ac:dyDescent="0.25">
      <c r="A35" s="29" t="s">
        <v>178</v>
      </c>
      <c r="B35" s="29"/>
      <c r="C35" s="29"/>
      <c r="D35" s="29"/>
      <c r="E35" s="29"/>
    </row>
    <row r="36" spans="1:5" x14ac:dyDescent="0.25">
      <c r="A36" s="30"/>
      <c r="B36" s="30"/>
      <c r="C36" s="30"/>
      <c r="D36" s="30"/>
      <c r="E36" s="30"/>
    </row>
    <row r="37" spans="1:5" x14ac:dyDescent="0.25">
      <c r="A37" s="27" t="s">
        <v>17</v>
      </c>
      <c r="B37" s="27" t="s">
        <v>18</v>
      </c>
      <c r="C37" s="27" t="s">
        <v>19</v>
      </c>
      <c r="D37" s="27" t="s">
        <v>20</v>
      </c>
      <c r="E37" s="27" t="s">
        <v>21</v>
      </c>
    </row>
    <row r="38" spans="1:5" x14ac:dyDescent="0.25">
      <c r="A38" s="30" t="s">
        <v>22</v>
      </c>
      <c r="B38" s="41">
        <v>200000</v>
      </c>
      <c r="C38" s="38">
        <v>100000</v>
      </c>
      <c r="D38" s="38">
        <v>50000</v>
      </c>
      <c r="E38" s="41">
        <f>SUM(B38:D38)</f>
        <v>350000</v>
      </c>
    </row>
    <row r="39" spans="1:5" x14ac:dyDescent="0.25">
      <c r="A39" s="30" t="s">
        <v>23</v>
      </c>
      <c r="B39" s="38">
        <v>12000</v>
      </c>
      <c r="C39" s="38">
        <v>35000</v>
      </c>
      <c r="D39" s="38">
        <v>20000</v>
      </c>
      <c r="E39" s="41"/>
    </row>
    <row r="40" spans="1:5" x14ac:dyDescent="0.25">
      <c r="A40" s="30" t="s">
        <v>24</v>
      </c>
      <c r="B40" s="38">
        <v>10000</v>
      </c>
      <c r="C40" s="38">
        <v>23000</v>
      </c>
      <c r="D40" s="38">
        <v>500</v>
      </c>
      <c r="E40" s="41"/>
    </row>
    <row r="41" spans="1:5" x14ac:dyDescent="0.25">
      <c r="A41" s="42" t="s">
        <v>25</v>
      </c>
      <c r="B41" s="41">
        <f>SUM(B38:B40)</f>
        <v>222000</v>
      </c>
      <c r="C41" s="41"/>
      <c r="D41" s="41"/>
      <c r="E41" s="41"/>
    </row>
    <row r="42" spans="1:5" x14ac:dyDescent="0.25">
      <c r="A42" s="30"/>
      <c r="B42" s="30"/>
      <c r="C42" s="30"/>
      <c r="D42" s="30"/>
      <c r="E42" s="30"/>
    </row>
    <row r="43" spans="1:5" x14ac:dyDescent="0.25">
      <c r="A43" s="30" t="s">
        <v>179</v>
      </c>
      <c r="B43" s="30"/>
      <c r="C43" s="30"/>
      <c r="D43" s="30"/>
      <c r="E43" s="30"/>
    </row>
    <row r="44" spans="1:5" x14ac:dyDescent="0.25">
      <c r="A44" s="30"/>
      <c r="B44" s="30"/>
      <c r="C44" s="30"/>
      <c r="D44" s="30"/>
      <c r="E44" s="30"/>
    </row>
    <row r="45" spans="1:5" x14ac:dyDescent="0.25">
      <c r="A45" s="29" t="s">
        <v>180</v>
      </c>
      <c r="B45" s="29"/>
      <c r="C45" s="29"/>
      <c r="D45" s="29"/>
      <c r="E45" s="30"/>
    </row>
    <row r="46" spans="1:5" x14ac:dyDescent="0.25">
      <c r="A46" s="30"/>
      <c r="B46" s="30"/>
      <c r="C46" s="30"/>
      <c r="D46" s="30"/>
      <c r="E46" s="30"/>
    </row>
    <row r="47" spans="1:5" x14ac:dyDescent="0.25">
      <c r="A47" s="27" t="s">
        <v>26</v>
      </c>
      <c r="B47" s="27" t="s">
        <v>27</v>
      </c>
      <c r="C47" s="27" t="s">
        <v>2</v>
      </c>
      <c r="D47" s="30"/>
      <c r="E47" s="30"/>
    </row>
    <row r="48" spans="1:5" x14ac:dyDescent="0.25">
      <c r="A48" s="30" t="s">
        <v>30</v>
      </c>
      <c r="B48" s="30" t="s">
        <v>31</v>
      </c>
      <c r="C48" s="30" t="s">
        <v>32</v>
      </c>
      <c r="D48" s="30"/>
      <c r="E48" s="30"/>
    </row>
    <row r="49" spans="1:5" x14ac:dyDescent="0.25">
      <c r="A49" s="30" t="s">
        <v>34</v>
      </c>
      <c r="B49" s="30" t="s">
        <v>35</v>
      </c>
      <c r="C49" s="30">
        <v>60</v>
      </c>
      <c r="D49" s="30"/>
      <c r="E49" s="30"/>
    </row>
    <row r="50" spans="1:5" x14ac:dyDescent="0.25">
      <c r="A50" s="34" t="s">
        <v>3</v>
      </c>
      <c r="B50" s="34" t="s">
        <v>38</v>
      </c>
      <c r="C50" s="34">
        <v>35</v>
      </c>
      <c r="D50" s="30"/>
      <c r="E50" s="30"/>
    </row>
    <row r="51" spans="1:5" x14ac:dyDescent="0.25">
      <c r="A51" s="34" t="s">
        <v>41</v>
      </c>
      <c r="B51" s="34" t="s">
        <v>42</v>
      </c>
      <c r="C51" s="34">
        <v>25</v>
      </c>
      <c r="D51" s="30"/>
      <c r="E51" s="30"/>
    </row>
    <row r="52" spans="1:5" x14ac:dyDescent="0.25">
      <c r="A52" s="34" t="s">
        <v>39</v>
      </c>
      <c r="B52" s="34" t="s">
        <v>43</v>
      </c>
      <c r="C52" s="34">
        <v>40</v>
      </c>
      <c r="D52" s="30"/>
      <c r="E52" s="30"/>
    </row>
    <row r="53" spans="1:5" x14ac:dyDescent="0.25">
      <c r="A53" s="34" t="s">
        <v>44</v>
      </c>
      <c r="B53" s="34" t="s">
        <v>45</v>
      </c>
      <c r="C53" s="34">
        <v>32</v>
      </c>
      <c r="D53" s="30"/>
      <c r="E53" s="30"/>
    </row>
    <row r="54" spans="1:5" x14ac:dyDescent="0.25">
      <c r="A54" s="34" t="s">
        <v>46</v>
      </c>
      <c r="B54" s="34" t="s">
        <v>47</v>
      </c>
      <c r="C54" s="34">
        <v>45</v>
      </c>
      <c r="D54" s="30"/>
      <c r="E54" s="30"/>
    </row>
    <row r="55" spans="1:5" x14ac:dyDescent="0.25">
      <c r="A55" s="34" t="s">
        <v>48</v>
      </c>
      <c r="B55" s="34" t="s">
        <v>49</v>
      </c>
      <c r="C55" s="34">
        <v>28</v>
      </c>
      <c r="D55" s="30"/>
      <c r="E55" s="30"/>
    </row>
    <row r="56" spans="1:5" x14ac:dyDescent="0.25">
      <c r="A56" s="34" t="s">
        <v>36</v>
      </c>
      <c r="B56" s="34" t="s">
        <v>50</v>
      </c>
      <c r="C56" s="34">
        <v>50</v>
      </c>
      <c r="D56" s="30"/>
      <c r="E56" s="30"/>
    </row>
    <row r="57" spans="1:5" x14ac:dyDescent="0.25">
      <c r="A57" s="34" t="s">
        <v>51</v>
      </c>
      <c r="B57" s="34" t="s">
        <v>52</v>
      </c>
      <c r="C57" s="34">
        <v>22</v>
      </c>
      <c r="D57" s="30"/>
      <c r="E57" s="30"/>
    </row>
    <row r="58" spans="1:5" x14ac:dyDescent="0.25">
      <c r="A58" s="30"/>
      <c r="B58" s="30"/>
      <c r="C58" s="30"/>
      <c r="D58" s="30"/>
      <c r="E58" s="30"/>
    </row>
    <row r="59" spans="1:5" x14ac:dyDescent="0.25">
      <c r="A59" s="27" t="s">
        <v>28</v>
      </c>
      <c r="B59" s="27" t="s">
        <v>26</v>
      </c>
      <c r="C59" s="27" t="s">
        <v>27</v>
      </c>
      <c r="D59" s="27" t="s">
        <v>29</v>
      </c>
      <c r="E59" s="30"/>
    </row>
    <row r="60" spans="1:5" x14ac:dyDescent="0.25">
      <c r="A60" s="31">
        <v>44816</v>
      </c>
      <c r="B60" s="30" t="s">
        <v>3</v>
      </c>
      <c r="C60" s="30" t="str">
        <f>VLOOKUP(B60,Table119[#All],2,FALSE)</f>
        <v>Rudi Santoso</v>
      </c>
      <c r="D60" s="30" t="s">
        <v>33</v>
      </c>
      <c r="E60" s="30"/>
    </row>
    <row r="61" spans="1:5" x14ac:dyDescent="0.25">
      <c r="A61" s="33" t="s">
        <v>184</v>
      </c>
      <c r="B61" s="30" t="s">
        <v>36</v>
      </c>
      <c r="C61" s="30"/>
      <c r="D61" s="30" t="s">
        <v>37</v>
      </c>
      <c r="E61" s="30"/>
    </row>
    <row r="62" spans="1:5" x14ac:dyDescent="0.25">
      <c r="A62" s="33" t="s">
        <v>185</v>
      </c>
      <c r="B62" s="30" t="s">
        <v>39</v>
      </c>
      <c r="C62" s="30"/>
      <c r="D62" s="30" t="s">
        <v>40</v>
      </c>
      <c r="E62" s="30"/>
    </row>
    <row r="63" spans="1:5" x14ac:dyDescent="0.25">
      <c r="A63" s="30"/>
      <c r="B63" s="30"/>
      <c r="C63" s="30"/>
      <c r="D63" s="30"/>
      <c r="E63" s="30"/>
    </row>
    <row r="64" spans="1:5" x14ac:dyDescent="0.25">
      <c r="A64" s="30" t="s">
        <v>182</v>
      </c>
      <c r="B64" s="30"/>
      <c r="C64" s="30"/>
      <c r="D64" s="30"/>
      <c r="E64" s="30"/>
    </row>
    <row r="65" spans="1:5" x14ac:dyDescent="0.25">
      <c r="A65" s="43" t="s">
        <v>183</v>
      </c>
      <c r="B65" s="43"/>
      <c r="C65" s="43"/>
      <c r="D65" s="43"/>
      <c r="E65" s="30"/>
    </row>
    <row r="66" spans="1:5" x14ac:dyDescent="0.25">
      <c r="A66" s="30"/>
      <c r="B66" s="30"/>
      <c r="C66" s="30"/>
      <c r="D66" s="30"/>
      <c r="E66" s="30"/>
    </row>
    <row r="67" spans="1:5" x14ac:dyDescent="0.25">
      <c r="A67" s="29" t="s">
        <v>186</v>
      </c>
      <c r="B67" s="29"/>
      <c r="C67" s="29"/>
      <c r="D67" s="29"/>
      <c r="E67" s="29"/>
    </row>
    <row r="68" spans="1:5" x14ac:dyDescent="0.25">
      <c r="A68" s="30"/>
      <c r="B68" s="30"/>
      <c r="C68" s="30"/>
      <c r="D68" s="30"/>
      <c r="E68" s="30"/>
    </row>
    <row r="69" spans="1:5" x14ac:dyDescent="0.25">
      <c r="A69" s="27" t="s">
        <v>58</v>
      </c>
      <c r="B69" s="27" t="s">
        <v>59</v>
      </c>
      <c r="C69" s="27" t="s">
        <v>60</v>
      </c>
      <c r="D69" s="30"/>
      <c r="E69" s="30"/>
    </row>
    <row r="70" spans="1:5" x14ac:dyDescent="0.25">
      <c r="A70" s="30" t="s">
        <v>18</v>
      </c>
      <c r="B70" s="30" t="s">
        <v>56</v>
      </c>
      <c r="C70" s="41">
        <v>3000</v>
      </c>
      <c r="D70" s="30"/>
      <c r="E70" s="30"/>
    </row>
    <row r="71" spans="1:5" x14ac:dyDescent="0.25">
      <c r="A71" s="30" t="s">
        <v>18</v>
      </c>
      <c r="B71" s="30" t="s">
        <v>57</v>
      </c>
      <c r="C71" s="38">
        <v>15000</v>
      </c>
      <c r="D71" s="30"/>
      <c r="E71" s="30"/>
    </row>
    <row r="72" spans="1:5" x14ac:dyDescent="0.25">
      <c r="A72" s="30" t="s">
        <v>18</v>
      </c>
      <c r="B72" s="30" t="s">
        <v>55</v>
      </c>
      <c r="C72" s="38">
        <v>23000</v>
      </c>
      <c r="D72" s="30"/>
      <c r="E72" s="30"/>
    </row>
    <row r="73" spans="1:5" x14ac:dyDescent="0.25">
      <c r="A73" s="30" t="s">
        <v>19</v>
      </c>
      <c r="B73" s="30" t="s">
        <v>56</v>
      </c>
      <c r="C73" s="38">
        <v>12000</v>
      </c>
      <c r="D73" s="30"/>
      <c r="E73" s="30"/>
    </row>
    <row r="74" spans="1:5" x14ac:dyDescent="0.25">
      <c r="A74" s="30" t="s">
        <v>19</v>
      </c>
      <c r="B74" s="30" t="s">
        <v>57</v>
      </c>
      <c r="C74" s="38">
        <v>10000</v>
      </c>
      <c r="D74" s="30"/>
      <c r="E74" s="30"/>
    </row>
    <row r="75" spans="1:5" x14ac:dyDescent="0.25">
      <c r="A75" s="30" t="s">
        <v>19</v>
      </c>
      <c r="B75" s="30" t="s">
        <v>55</v>
      </c>
      <c r="C75" s="38">
        <v>5000</v>
      </c>
      <c r="D75" s="30"/>
      <c r="E75" s="30"/>
    </row>
    <row r="76" spans="1:5" x14ac:dyDescent="0.25">
      <c r="A76" s="30" t="s">
        <v>20</v>
      </c>
      <c r="B76" s="30" t="s">
        <v>56</v>
      </c>
      <c r="C76" s="38">
        <v>1000</v>
      </c>
      <c r="D76" s="30"/>
      <c r="E76" s="30"/>
    </row>
    <row r="77" spans="1:5" x14ac:dyDescent="0.25">
      <c r="A77" s="30" t="s">
        <v>20</v>
      </c>
      <c r="B77" s="30" t="s">
        <v>57</v>
      </c>
      <c r="C77" s="38">
        <v>500</v>
      </c>
      <c r="D77" s="30"/>
      <c r="E77" s="30"/>
    </row>
    <row r="78" spans="1:5" x14ac:dyDescent="0.25">
      <c r="A78" s="30" t="s">
        <v>20</v>
      </c>
      <c r="B78" s="30" t="s">
        <v>55</v>
      </c>
      <c r="C78" s="38">
        <v>12000</v>
      </c>
      <c r="D78" s="30"/>
      <c r="E78" s="30"/>
    </row>
    <row r="79" spans="1:5" x14ac:dyDescent="0.25">
      <c r="A79" s="30"/>
      <c r="B79" s="30"/>
      <c r="C79" s="30"/>
      <c r="D79" s="30"/>
      <c r="E79" s="30"/>
    </row>
    <row r="80" spans="1:5" x14ac:dyDescent="0.25">
      <c r="A80" s="44" t="s">
        <v>53</v>
      </c>
      <c r="B80" s="44" t="s">
        <v>58</v>
      </c>
      <c r="C80" s="30"/>
      <c r="D80" s="30"/>
      <c r="E80" s="30"/>
    </row>
    <row r="81" spans="1:5" x14ac:dyDescent="0.25">
      <c r="A81" s="44" t="s">
        <v>59</v>
      </c>
      <c r="B81" s="30" t="s">
        <v>18</v>
      </c>
      <c r="C81" s="30" t="s">
        <v>19</v>
      </c>
      <c r="D81" s="30" t="s">
        <v>20</v>
      </c>
      <c r="E81" s="30" t="s">
        <v>54</v>
      </c>
    </row>
    <row r="82" spans="1:5" x14ac:dyDescent="0.25">
      <c r="A82" s="30" t="s">
        <v>55</v>
      </c>
      <c r="B82" s="41">
        <v>23000</v>
      </c>
      <c r="C82" s="38">
        <v>5000</v>
      </c>
      <c r="D82" s="38">
        <v>12000</v>
      </c>
      <c r="E82" s="38">
        <v>40000</v>
      </c>
    </row>
    <row r="83" spans="1:5" x14ac:dyDescent="0.25">
      <c r="A83" s="30" t="s">
        <v>56</v>
      </c>
      <c r="B83" s="38">
        <v>3000</v>
      </c>
      <c r="C83" s="38">
        <v>12000</v>
      </c>
      <c r="D83" s="38">
        <v>1000</v>
      </c>
      <c r="E83" s="38">
        <v>16000</v>
      </c>
    </row>
    <row r="84" spans="1:5" x14ac:dyDescent="0.25">
      <c r="A84" s="30" t="s">
        <v>57</v>
      </c>
      <c r="B84" s="38">
        <v>15000</v>
      </c>
      <c r="C84" s="38">
        <v>10000</v>
      </c>
      <c r="D84" s="38">
        <v>500</v>
      </c>
      <c r="E84" s="38">
        <v>25500</v>
      </c>
    </row>
    <row r="85" spans="1:5" x14ac:dyDescent="0.25">
      <c r="A85" s="30" t="s">
        <v>54</v>
      </c>
      <c r="B85" s="38">
        <v>41000</v>
      </c>
      <c r="C85" s="38">
        <v>27000</v>
      </c>
      <c r="D85" s="38">
        <v>13500</v>
      </c>
      <c r="E85" s="38">
        <v>81500</v>
      </c>
    </row>
    <row r="86" spans="1:5" x14ac:dyDescent="0.25">
      <c r="A86" s="30"/>
      <c r="B86" s="30"/>
      <c r="C86" s="30"/>
      <c r="D86" s="30"/>
      <c r="E86" s="30"/>
    </row>
    <row r="87" spans="1:5" x14ac:dyDescent="0.25">
      <c r="A87" s="30" t="s">
        <v>187</v>
      </c>
      <c r="B87" s="30"/>
      <c r="C87" s="30"/>
      <c r="D87" s="30"/>
      <c r="E87" s="30"/>
    </row>
    <row r="88" spans="1:5" x14ac:dyDescent="0.25">
      <c r="A88" s="30"/>
      <c r="B88" s="30"/>
      <c r="C88" s="30"/>
      <c r="D88" s="30"/>
      <c r="E88" s="30"/>
    </row>
    <row r="89" spans="1:5" x14ac:dyDescent="0.25">
      <c r="A89" s="29" t="s">
        <v>188</v>
      </c>
      <c r="B89" s="29"/>
      <c r="C89" s="29"/>
      <c r="D89" s="29"/>
      <c r="E89" s="29"/>
    </row>
    <row r="90" spans="1:5" x14ac:dyDescent="0.25">
      <c r="A90" s="30"/>
      <c r="B90" s="30"/>
      <c r="C90" s="30"/>
      <c r="D90" s="30"/>
      <c r="E90" s="30"/>
    </row>
    <row r="91" spans="1:5" x14ac:dyDescent="0.25">
      <c r="A91" s="27" t="s">
        <v>0</v>
      </c>
      <c r="B91" s="27" t="s">
        <v>61</v>
      </c>
      <c r="C91" s="27" t="s">
        <v>62</v>
      </c>
      <c r="D91" s="27" t="s">
        <v>63</v>
      </c>
      <c r="E91" s="27" t="s">
        <v>64</v>
      </c>
    </row>
    <row r="92" spans="1:5" x14ac:dyDescent="0.25">
      <c r="A92" s="30" t="s">
        <v>3</v>
      </c>
      <c r="B92" s="30" t="s">
        <v>65</v>
      </c>
      <c r="C92" s="30" t="s">
        <v>66</v>
      </c>
      <c r="D92" s="30" t="s">
        <v>67</v>
      </c>
      <c r="E92" s="30" t="str">
        <f t="shared" ref="E92" si="2">_xlfn.TEXTJOIN("-",TRUE,B92:D92)</f>
        <v>SMD-IV-JAN</v>
      </c>
    </row>
    <row r="93" spans="1:5" x14ac:dyDescent="0.25">
      <c r="A93" s="30" t="s">
        <v>68</v>
      </c>
      <c r="B93" s="30" t="s">
        <v>69</v>
      </c>
      <c r="C93" s="30" t="s">
        <v>70</v>
      </c>
      <c r="D93" s="30" t="s">
        <v>71</v>
      </c>
      <c r="E93" s="30"/>
    </row>
    <row r="94" spans="1:5" x14ac:dyDescent="0.25">
      <c r="A94" s="34" t="s">
        <v>41</v>
      </c>
      <c r="B94" s="34" t="s">
        <v>72</v>
      </c>
      <c r="C94" s="34" t="s">
        <v>73</v>
      </c>
      <c r="D94" s="34" t="s">
        <v>74</v>
      </c>
      <c r="E94" s="30"/>
    </row>
    <row r="95" spans="1:5" x14ac:dyDescent="0.25">
      <c r="A95" s="34" t="s">
        <v>6</v>
      </c>
      <c r="B95" s="34" t="s">
        <v>75</v>
      </c>
      <c r="C95" s="34" t="s">
        <v>76</v>
      </c>
      <c r="D95" s="34" t="s">
        <v>77</v>
      </c>
      <c r="E95" s="30"/>
    </row>
    <row r="96" spans="1:5" x14ac:dyDescent="0.25">
      <c r="A96" s="34" t="s">
        <v>5</v>
      </c>
      <c r="B96" s="34" t="s">
        <v>78</v>
      </c>
      <c r="C96" s="34" t="s">
        <v>66</v>
      </c>
      <c r="D96" s="34" t="s">
        <v>79</v>
      </c>
      <c r="E96" s="30"/>
    </row>
    <row r="97" spans="1:5" x14ac:dyDescent="0.25">
      <c r="A97" s="34" t="s">
        <v>8</v>
      </c>
      <c r="B97" s="34" t="s">
        <v>80</v>
      </c>
      <c r="C97" s="34" t="s">
        <v>81</v>
      </c>
      <c r="D97" s="34" t="s">
        <v>82</v>
      </c>
      <c r="E97" s="30"/>
    </row>
    <row r="98" spans="1:5" x14ac:dyDescent="0.25">
      <c r="A98" s="34" t="s">
        <v>7</v>
      </c>
      <c r="B98" s="34" t="s">
        <v>83</v>
      </c>
      <c r="C98" s="34" t="s">
        <v>84</v>
      </c>
      <c r="D98" s="34" t="s">
        <v>85</v>
      </c>
      <c r="E98" s="30"/>
    </row>
    <row r="99" spans="1:5" x14ac:dyDescent="0.25">
      <c r="A99" s="34" t="s">
        <v>9</v>
      </c>
      <c r="B99" s="34" t="s">
        <v>86</v>
      </c>
      <c r="C99" s="34" t="s">
        <v>87</v>
      </c>
      <c r="D99" s="34" t="s">
        <v>88</v>
      </c>
      <c r="E99" s="30"/>
    </row>
    <row r="100" spans="1:5" x14ac:dyDescent="0.25">
      <c r="A100" s="34" t="s">
        <v>10</v>
      </c>
      <c r="B100" s="34" t="s">
        <v>89</v>
      </c>
      <c r="C100" s="34" t="s">
        <v>90</v>
      </c>
      <c r="D100" s="34" t="s">
        <v>91</v>
      </c>
      <c r="E100" s="30"/>
    </row>
    <row r="101" spans="1:5" x14ac:dyDescent="0.25">
      <c r="A101" s="34" t="s">
        <v>11</v>
      </c>
      <c r="B101" s="34" t="s">
        <v>92</v>
      </c>
      <c r="C101" s="34" t="s">
        <v>93</v>
      </c>
      <c r="D101" s="34" t="s">
        <v>94</v>
      </c>
      <c r="E101" s="30"/>
    </row>
    <row r="102" spans="1:5" x14ac:dyDescent="0.25">
      <c r="A102" s="30"/>
      <c r="B102" s="30"/>
      <c r="C102" s="30"/>
      <c r="D102" s="30"/>
      <c r="E102" s="30"/>
    </row>
    <row r="103" spans="1:5" x14ac:dyDescent="0.25">
      <c r="A103" s="36" t="s">
        <v>189</v>
      </c>
      <c r="B103" s="30"/>
      <c r="C103" s="30"/>
      <c r="D103" s="30"/>
      <c r="E103" s="30"/>
    </row>
    <row r="104" spans="1:5" x14ac:dyDescent="0.25">
      <c r="A104" s="30"/>
      <c r="B104" s="30"/>
      <c r="C104" s="30"/>
      <c r="D104" s="30"/>
      <c r="E104" s="30"/>
    </row>
    <row r="105" spans="1:5" x14ac:dyDescent="0.25">
      <c r="A105" s="29" t="s">
        <v>190</v>
      </c>
      <c r="B105" s="29"/>
      <c r="C105" s="29"/>
      <c r="D105" s="29"/>
      <c r="E105" s="29"/>
    </row>
    <row r="106" spans="1:5" x14ac:dyDescent="0.25">
      <c r="A106" s="30"/>
      <c r="B106" s="30"/>
      <c r="C106" s="30"/>
      <c r="D106" s="30"/>
      <c r="E106" s="30"/>
    </row>
    <row r="107" spans="1:5" x14ac:dyDescent="0.25">
      <c r="A107" s="27" t="s">
        <v>95</v>
      </c>
      <c r="B107" s="27" t="s">
        <v>17</v>
      </c>
      <c r="C107" s="27" t="s">
        <v>96</v>
      </c>
      <c r="D107" s="27" t="s">
        <v>97</v>
      </c>
      <c r="E107" s="27" t="s">
        <v>98</v>
      </c>
    </row>
    <row r="108" spans="1:5" x14ac:dyDescent="0.25">
      <c r="A108" s="30">
        <v>1</v>
      </c>
      <c r="B108" s="30" t="s">
        <v>99</v>
      </c>
      <c r="C108" s="30">
        <v>10</v>
      </c>
      <c r="D108" s="41">
        <v>10000</v>
      </c>
      <c r="E108" s="41">
        <f t="shared" ref="E108" si="3">C108*D108</f>
        <v>100000</v>
      </c>
    </row>
    <row r="109" spans="1:5" x14ac:dyDescent="0.25">
      <c r="A109" s="30">
        <f>A108+1</f>
        <v>2</v>
      </c>
      <c r="B109" s="30" t="s">
        <v>100</v>
      </c>
      <c r="C109" s="30">
        <v>5</v>
      </c>
      <c r="D109" s="38">
        <v>3000</v>
      </c>
      <c r="E109" s="41"/>
    </row>
    <row r="110" spans="1:5" x14ac:dyDescent="0.25">
      <c r="A110" s="30">
        <f>A109+1</f>
        <v>3</v>
      </c>
      <c r="B110" s="30" t="s">
        <v>101</v>
      </c>
      <c r="C110" s="30">
        <v>2</v>
      </c>
      <c r="D110" s="38">
        <v>8000</v>
      </c>
      <c r="E110" s="41"/>
    </row>
    <row r="111" spans="1:5" x14ac:dyDescent="0.25">
      <c r="A111" s="30">
        <f>A110+1</f>
        <v>4</v>
      </c>
      <c r="B111" s="30" t="s">
        <v>102</v>
      </c>
      <c r="C111" s="30">
        <v>2</v>
      </c>
      <c r="D111" s="38">
        <v>45000</v>
      </c>
      <c r="E111" s="41"/>
    </row>
    <row r="112" spans="1:5" x14ac:dyDescent="0.25">
      <c r="A112" s="30">
        <f>A111+1</f>
        <v>5</v>
      </c>
      <c r="B112" s="30" t="s">
        <v>103</v>
      </c>
      <c r="C112" s="30">
        <v>4</v>
      </c>
      <c r="D112" s="38">
        <v>3500</v>
      </c>
      <c r="E112" s="41"/>
    </row>
    <row r="113" spans="1:5" x14ac:dyDescent="0.25">
      <c r="A113" s="30"/>
      <c r="B113" s="30"/>
      <c r="C113" s="30"/>
      <c r="D113" s="42" t="s">
        <v>21</v>
      </c>
      <c r="E113" s="41"/>
    </row>
    <row r="114" spans="1:5" x14ac:dyDescent="0.25">
      <c r="A114" s="30"/>
      <c r="B114" s="30"/>
      <c r="C114" s="30"/>
      <c r="D114" s="30"/>
      <c r="E114" s="30"/>
    </row>
    <row r="115" spans="1:5" x14ac:dyDescent="0.25">
      <c r="A115" s="36" t="s">
        <v>191</v>
      </c>
      <c r="B115" s="30"/>
      <c r="C115" s="30"/>
      <c r="D115" s="30"/>
      <c r="E115" s="30"/>
    </row>
    <row r="116" spans="1:5" x14ac:dyDescent="0.25">
      <c r="A116" s="30" t="s">
        <v>179</v>
      </c>
      <c r="B116" s="30"/>
      <c r="C116" s="30"/>
      <c r="D116" s="30"/>
      <c r="E116" s="30"/>
    </row>
    <row r="117" spans="1:5" x14ac:dyDescent="0.25">
      <c r="A117" s="30"/>
      <c r="B117" s="30"/>
      <c r="C117" s="30"/>
      <c r="D117" s="30"/>
      <c r="E117" s="30"/>
    </row>
    <row r="118" spans="1:5" x14ac:dyDescent="0.25">
      <c r="A118" s="29" t="s">
        <v>193</v>
      </c>
      <c r="B118" s="29"/>
      <c r="C118" s="30"/>
      <c r="D118" s="30"/>
      <c r="E118" s="30"/>
    </row>
    <row r="119" spans="1:5" x14ac:dyDescent="0.25">
      <c r="A119" s="30"/>
      <c r="B119" s="30"/>
      <c r="C119" s="30"/>
      <c r="D119" s="30"/>
      <c r="E119" s="30"/>
    </row>
    <row r="120" spans="1:5" x14ac:dyDescent="0.25">
      <c r="A120" s="27" t="s">
        <v>28</v>
      </c>
      <c r="B120" s="27" t="s">
        <v>104</v>
      </c>
      <c r="C120" s="30"/>
      <c r="D120" s="30"/>
      <c r="E120" s="30"/>
    </row>
    <row r="121" spans="1:5" x14ac:dyDescent="0.25">
      <c r="A121" s="45">
        <v>45363</v>
      </c>
      <c r="B121" s="30" t="str">
        <f t="shared" ref="B121" si="4">TEXT(A121,"dddd")</f>
        <v>Tuesday</v>
      </c>
      <c r="C121" s="30"/>
      <c r="D121" s="30"/>
      <c r="E121" s="30"/>
    </row>
    <row r="122" spans="1:5" x14ac:dyDescent="0.25">
      <c r="A122" s="38" t="s">
        <v>195</v>
      </c>
      <c r="B122" s="30"/>
      <c r="C122" s="30"/>
      <c r="D122" s="30"/>
      <c r="E122" s="30"/>
    </row>
    <row r="123" spans="1:5" x14ac:dyDescent="0.25">
      <c r="A123" s="39" t="s">
        <v>196</v>
      </c>
      <c r="B123" s="30"/>
      <c r="C123" s="30"/>
      <c r="D123" s="30"/>
      <c r="E123" s="30"/>
    </row>
    <row r="124" spans="1:5" x14ac:dyDescent="0.25">
      <c r="A124" s="39" t="s">
        <v>197</v>
      </c>
      <c r="B124" s="30"/>
      <c r="C124" s="30"/>
      <c r="D124" s="30"/>
      <c r="E124" s="30"/>
    </row>
    <row r="125" spans="1:5" x14ac:dyDescent="0.25">
      <c r="A125" s="39" t="s">
        <v>198</v>
      </c>
      <c r="B125" s="30"/>
      <c r="C125" s="30"/>
      <c r="D125" s="30"/>
      <c r="E125" s="30"/>
    </row>
    <row r="126" spans="1:5" x14ac:dyDescent="0.25">
      <c r="A126" s="39" t="s">
        <v>199</v>
      </c>
      <c r="B126" s="30"/>
      <c r="C126" s="30"/>
      <c r="D126" s="30"/>
      <c r="E126" s="30"/>
    </row>
    <row r="127" spans="1:5" x14ac:dyDescent="0.25">
      <c r="A127" s="39" t="s">
        <v>200</v>
      </c>
      <c r="B127" s="30"/>
      <c r="C127" s="30"/>
      <c r="D127" s="30"/>
      <c r="E127" s="30"/>
    </row>
    <row r="128" spans="1:5" x14ac:dyDescent="0.25">
      <c r="A128" s="39" t="s">
        <v>201</v>
      </c>
      <c r="B128" s="30"/>
      <c r="C128" s="30"/>
      <c r="D128" s="30"/>
      <c r="E128" s="30"/>
    </row>
    <row r="129" spans="1:5" x14ac:dyDescent="0.25">
      <c r="A129" s="39" t="s">
        <v>202</v>
      </c>
      <c r="B129" s="30"/>
      <c r="C129" s="30"/>
      <c r="D129" s="30"/>
      <c r="E129" s="30"/>
    </row>
    <row r="130" spans="1:5" x14ac:dyDescent="0.25">
      <c r="A130" s="39" t="s">
        <v>203</v>
      </c>
      <c r="B130" s="30"/>
      <c r="C130" s="30"/>
      <c r="D130" s="30"/>
      <c r="E130" s="30"/>
    </row>
    <row r="131" spans="1:5" x14ac:dyDescent="0.25">
      <c r="A131" s="30"/>
      <c r="B131" s="30"/>
      <c r="C131" s="30"/>
      <c r="D131" s="30"/>
      <c r="E131" s="30"/>
    </row>
    <row r="132" spans="1:5" x14ac:dyDescent="0.25">
      <c r="A132" s="46" t="s">
        <v>194</v>
      </c>
      <c r="B132" s="30"/>
      <c r="C132" s="30"/>
      <c r="D132" s="30"/>
      <c r="E132" s="30"/>
    </row>
    <row r="133" spans="1:5" x14ac:dyDescent="0.25">
      <c r="A133" s="30"/>
      <c r="B133" s="30"/>
      <c r="C133" s="30"/>
      <c r="D133" s="30"/>
      <c r="E133" s="30"/>
    </row>
    <row r="134" spans="1:5" x14ac:dyDescent="0.25">
      <c r="A134" s="29" t="s">
        <v>192</v>
      </c>
      <c r="B134" s="29"/>
      <c r="C134" s="29"/>
      <c r="D134" s="30"/>
      <c r="E134" s="30"/>
    </row>
    <row r="135" spans="1:5" x14ac:dyDescent="0.25">
      <c r="A135" s="30"/>
      <c r="B135" s="30"/>
      <c r="C135" s="30"/>
      <c r="D135" s="30"/>
      <c r="E135" s="30"/>
    </row>
    <row r="136" spans="1:5" x14ac:dyDescent="0.25">
      <c r="A136" s="27" t="s">
        <v>105</v>
      </c>
      <c r="B136" s="27" t="s">
        <v>106</v>
      </c>
      <c r="C136" s="27" t="s">
        <v>27</v>
      </c>
      <c r="D136" s="30"/>
      <c r="E136" s="30"/>
    </row>
    <row r="137" spans="1:5" x14ac:dyDescent="0.25">
      <c r="A137" s="30" t="s">
        <v>107</v>
      </c>
      <c r="B137" s="30" t="s">
        <v>6</v>
      </c>
      <c r="C137" s="30" t="s">
        <v>108</v>
      </c>
      <c r="D137" s="30"/>
      <c r="E137" s="30"/>
    </row>
    <row r="138" spans="1:5" x14ac:dyDescent="0.25">
      <c r="A138" s="30" t="s">
        <v>109</v>
      </c>
      <c r="B138" s="30" t="s">
        <v>110</v>
      </c>
      <c r="C138" s="30"/>
      <c r="D138" s="30"/>
      <c r="E138" s="30"/>
    </row>
    <row r="139" spans="1:5" x14ac:dyDescent="0.25">
      <c r="A139" s="34" t="s">
        <v>7</v>
      </c>
      <c r="B139" s="34" t="s">
        <v>111</v>
      </c>
      <c r="C139" s="30"/>
      <c r="D139" s="30"/>
      <c r="E139" s="30"/>
    </row>
    <row r="140" spans="1:5" x14ac:dyDescent="0.25">
      <c r="A140" s="34" t="s">
        <v>6</v>
      </c>
      <c r="B140" s="34" t="s">
        <v>112</v>
      </c>
      <c r="C140" s="30"/>
      <c r="D140" s="30"/>
      <c r="E140" s="30"/>
    </row>
    <row r="141" spans="1:5" x14ac:dyDescent="0.25">
      <c r="A141" s="34" t="s">
        <v>5</v>
      </c>
      <c r="B141" s="34" t="s">
        <v>113</v>
      </c>
      <c r="C141" s="30"/>
      <c r="D141" s="30"/>
      <c r="E141" s="30"/>
    </row>
    <row r="142" spans="1:5" x14ac:dyDescent="0.25">
      <c r="A142" s="34" t="s">
        <v>46</v>
      </c>
      <c r="B142" s="34" t="s">
        <v>114</v>
      </c>
      <c r="C142" s="30"/>
      <c r="D142" s="30"/>
      <c r="E142" s="30"/>
    </row>
    <row r="143" spans="1:5" x14ac:dyDescent="0.25">
      <c r="A143" s="34" t="s">
        <v>11</v>
      </c>
      <c r="B143" s="34" t="s">
        <v>48</v>
      </c>
      <c r="C143" s="30"/>
      <c r="D143" s="30"/>
      <c r="E143" s="30"/>
    </row>
    <row r="144" spans="1:5" x14ac:dyDescent="0.25">
      <c r="A144" s="34" t="s">
        <v>8</v>
      </c>
      <c r="B144" s="34" t="s">
        <v>115</v>
      </c>
      <c r="C144" s="30"/>
      <c r="D144" s="30"/>
      <c r="E144" s="30"/>
    </row>
    <row r="145" spans="1:5" x14ac:dyDescent="0.25">
      <c r="A145" s="34" t="s">
        <v>10</v>
      </c>
      <c r="B145" s="34" t="s">
        <v>116</v>
      </c>
      <c r="C145" s="30"/>
      <c r="D145" s="30"/>
      <c r="E145" s="30"/>
    </row>
    <row r="146" spans="1:5" x14ac:dyDescent="0.25">
      <c r="A146" s="34" t="s">
        <v>9</v>
      </c>
      <c r="B146" s="34" t="s">
        <v>117</v>
      </c>
      <c r="C146" s="30"/>
      <c r="D146" s="30"/>
      <c r="E146" s="30"/>
    </row>
    <row r="147" spans="1:5" x14ac:dyDescent="0.25">
      <c r="A147" s="30"/>
      <c r="B147" s="30"/>
      <c r="C147" s="30"/>
      <c r="D147" s="30"/>
      <c r="E147" s="30"/>
    </row>
    <row r="148" spans="1:5" x14ac:dyDescent="0.25">
      <c r="A148" s="30" t="s">
        <v>204</v>
      </c>
      <c r="B148" s="30"/>
      <c r="C148" s="30"/>
      <c r="D148" s="30"/>
      <c r="E148" s="30"/>
    </row>
    <row r="149" spans="1:5" x14ac:dyDescent="0.25">
      <c r="A149" s="30"/>
      <c r="B149" s="30"/>
      <c r="C149" s="30"/>
      <c r="D149" s="30"/>
      <c r="E149" s="30"/>
    </row>
    <row r="150" spans="1:5" x14ac:dyDescent="0.25">
      <c r="A150" s="29" t="s">
        <v>205</v>
      </c>
      <c r="B150" s="29"/>
      <c r="C150" s="29"/>
      <c r="D150" s="30"/>
      <c r="E150" s="30"/>
    </row>
    <row r="151" spans="1:5" x14ac:dyDescent="0.25">
      <c r="A151" s="30"/>
      <c r="B151" s="30"/>
      <c r="C151" s="30"/>
      <c r="D151" s="30"/>
      <c r="E151" s="30"/>
    </row>
    <row r="152" spans="1:5" x14ac:dyDescent="0.25">
      <c r="A152" s="27" t="s">
        <v>118</v>
      </c>
      <c r="B152" s="27" t="s">
        <v>119</v>
      </c>
      <c r="C152" s="27" t="s">
        <v>120</v>
      </c>
      <c r="D152" s="30"/>
      <c r="E152" s="30"/>
    </row>
    <row r="153" spans="1:5" x14ac:dyDescent="0.25">
      <c r="A153" s="30" t="s">
        <v>121</v>
      </c>
      <c r="B153" s="30" t="s">
        <v>122</v>
      </c>
      <c r="C153" s="30">
        <v>2014</v>
      </c>
      <c r="D153" s="30"/>
      <c r="E153" s="30"/>
    </row>
    <row r="154" spans="1:5" x14ac:dyDescent="0.25">
      <c r="A154" s="30" t="s">
        <v>123</v>
      </c>
      <c r="B154" s="30"/>
      <c r="C154" s="30"/>
      <c r="D154" s="30"/>
      <c r="E154" s="30"/>
    </row>
    <row r="155" spans="1:5" x14ac:dyDescent="0.25">
      <c r="A155" s="34" t="s">
        <v>124</v>
      </c>
      <c r="B155" s="30"/>
      <c r="C155" s="30"/>
      <c r="D155" s="30"/>
      <c r="E155" s="30"/>
    </row>
    <row r="156" spans="1:5" x14ac:dyDescent="0.25">
      <c r="A156" s="34" t="s">
        <v>125</v>
      </c>
      <c r="B156" s="30"/>
      <c r="C156" s="30"/>
      <c r="D156" s="30"/>
      <c r="E156" s="30"/>
    </row>
    <row r="157" spans="1:5" x14ac:dyDescent="0.25">
      <c r="A157" s="34" t="s">
        <v>126</v>
      </c>
      <c r="B157" s="30"/>
      <c r="C157" s="30"/>
      <c r="D157" s="30"/>
      <c r="E157" s="30"/>
    </row>
    <row r="158" spans="1:5" x14ac:dyDescent="0.25">
      <c r="A158" s="34" t="s">
        <v>127</v>
      </c>
      <c r="B158" s="30"/>
      <c r="C158" s="30"/>
      <c r="D158" s="30"/>
      <c r="E158" s="30"/>
    </row>
    <row r="159" spans="1:5" x14ac:dyDescent="0.25">
      <c r="A159" s="34" t="s">
        <v>128</v>
      </c>
      <c r="B159" s="30"/>
      <c r="C159" s="30"/>
      <c r="D159" s="30"/>
      <c r="E159" s="30"/>
    </row>
    <row r="160" spans="1:5" x14ac:dyDescent="0.25">
      <c r="A160" s="34" t="s">
        <v>129</v>
      </c>
      <c r="B160" s="30"/>
      <c r="C160" s="30"/>
      <c r="D160" s="30"/>
      <c r="E160" s="30"/>
    </row>
    <row r="161" spans="1:5" x14ac:dyDescent="0.25">
      <c r="A161" s="34" t="s">
        <v>130</v>
      </c>
      <c r="B161" s="30"/>
      <c r="C161" s="30"/>
      <c r="D161" s="30"/>
      <c r="E161" s="30"/>
    </row>
    <row r="162" spans="1:5" x14ac:dyDescent="0.25">
      <c r="A162" s="34" t="s">
        <v>131</v>
      </c>
      <c r="B162" s="30"/>
      <c r="C162" s="30"/>
      <c r="D162" s="30"/>
      <c r="E162" s="30"/>
    </row>
    <row r="163" spans="1:5" x14ac:dyDescent="0.25">
      <c r="A163" s="30"/>
      <c r="B163" s="30"/>
      <c r="C163" s="30"/>
      <c r="D163" s="30"/>
      <c r="E163" s="30"/>
    </row>
    <row r="164" spans="1:5" x14ac:dyDescent="0.25">
      <c r="A164" s="30" t="s">
        <v>204</v>
      </c>
      <c r="B164" s="30"/>
      <c r="C164" s="30"/>
      <c r="D164" s="30"/>
      <c r="E164" s="30"/>
    </row>
    <row r="165" spans="1:5" x14ac:dyDescent="0.25">
      <c r="A165" s="30"/>
      <c r="B165" s="30"/>
      <c r="C165" s="30"/>
      <c r="D165" s="30"/>
      <c r="E165" s="30"/>
    </row>
    <row r="166" spans="1:5" x14ac:dyDescent="0.25">
      <c r="A166" s="29" t="s">
        <v>207</v>
      </c>
      <c r="B166" s="29"/>
      <c r="C166" s="30"/>
      <c r="D166" s="30"/>
      <c r="E166" s="30"/>
    </row>
    <row r="167" spans="1:5" x14ac:dyDescent="0.25">
      <c r="A167" s="30"/>
      <c r="B167" s="30"/>
      <c r="C167" s="30"/>
      <c r="D167" s="30"/>
      <c r="E167" s="30"/>
    </row>
    <row r="168" spans="1:5" x14ac:dyDescent="0.25">
      <c r="A168" s="27" t="s">
        <v>132</v>
      </c>
      <c r="B168" s="27" t="s">
        <v>133</v>
      </c>
      <c r="C168" s="30"/>
      <c r="D168" s="30"/>
      <c r="E168" s="30"/>
    </row>
    <row r="169" spans="1:5" x14ac:dyDescent="0.25">
      <c r="A169" s="30" t="s">
        <v>134</v>
      </c>
      <c r="B169" s="47">
        <v>10</v>
      </c>
      <c r="C169" s="30"/>
      <c r="D169" s="30"/>
      <c r="E169" s="30"/>
    </row>
    <row r="170" spans="1:5" x14ac:dyDescent="0.25">
      <c r="A170" s="30" t="s">
        <v>135</v>
      </c>
      <c r="B170" s="48">
        <v>2</v>
      </c>
      <c r="C170" s="30"/>
      <c r="D170" s="30"/>
      <c r="E170" s="30"/>
    </row>
    <row r="171" spans="1:5" x14ac:dyDescent="0.25">
      <c r="A171" s="30" t="s">
        <v>136</v>
      </c>
      <c r="B171" s="48">
        <v>4</v>
      </c>
      <c r="C171" s="30"/>
      <c r="D171" s="30"/>
      <c r="E171" s="30"/>
    </row>
    <row r="172" spans="1:5" x14ac:dyDescent="0.25">
      <c r="A172" s="34" t="s">
        <v>137</v>
      </c>
      <c r="B172" s="48">
        <v>12</v>
      </c>
      <c r="C172" s="30"/>
      <c r="D172" s="30"/>
      <c r="E172" s="30"/>
    </row>
    <row r="173" spans="1:5" x14ac:dyDescent="0.25">
      <c r="A173" s="34" t="s">
        <v>138</v>
      </c>
      <c r="B173" s="48">
        <v>6</v>
      </c>
      <c r="C173" s="30"/>
      <c r="D173" s="30"/>
      <c r="E173" s="30"/>
    </row>
    <row r="174" spans="1:5" x14ac:dyDescent="0.25">
      <c r="A174" s="49" t="s">
        <v>21</v>
      </c>
      <c r="B174" s="48"/>
      <c r="C174" s="30"/>
      <c r="D174" s="30"/>
      <c r="E174" s="30"/>
    </row>
    <row r="175" spans="1:5" x14ac:dyDescent="0.25">
      <c r="A175" s="34"/>
      <c r="B175" s="30"/>
      <c r="C175" s="30"/>
      <c r="D175" s="30"/>
      <c r="E175" s="30"/>
    </row>
    <row r="176" spans="1:5" x14ac:dyDescent="0.25">
      <c r="A176" s="30" t="s">
        <v>206</v>
      </c>
      <c r="B176" s="50"/>
      <c r="C176" s="30"/>
      <c r="D176" s="30"/>
      <c r="E176" s="30"/>
    </row>
    <row r="177" spans="1:5" x14ac:dyDescent="0.25">
      <c r="A177" s="34" t="s">
        <v>179</v>
      </c>
      <c r="B177" s="50"/>
      <c r="C177" s="30"/>
      <c r="D177" s="30"/>
      <c r="E177" s="30"/>
    </row>
    <row r="178" spans="1:5" x14ac:dyDescent="0.25">
      <c r="A178" s="30"/>
      <c r="B178" s="30"/>
      <c r="C178" s="30"/>
      <c r="D178" s="30"/>
      <c r="E178" s="30"/>
    </row>
    <row r="179" spans="1:5" x14ac:dyDescent="0.25">
      <c r="A179" s="29" t="s">
        <v>208</v>
      </c>
      <c r="B179" s="29"/>
      <c r="C179" s="29"/>
      <c r="D179" s="30"/>
      <c r="E179" s="30"/>
    </row>
    <row r="180" spans="1:5" x14ac:dyDescent="0.25">
      <c r="A180" s="30"/>
      <c r="B180" s="30"/>
      <c r="C180" s="30"/>
      <c r="D180" s="30"/>
      <c r="E180" s="30"/>
    </row>
    <row r="181" spans="1:5" x14ac:dyDescent="0.25">
      <c r="A181" s="27" t="s">
        <v>0</v>
      </c>
      <c r="B181" s="27" t="s">
        <v>139</v>
      </c>
      <c r="C181" s="27" t="s">
        <v>140</v>
      </c>
      <c r="D181" s="30"/>
      <c r="E181" s="30"/>
    </row>
    <row r="182" spans="1:5" x14ac:dyDescent="0.25">
      <c r="A182" s="30" t="s">
        <v>3</v>
      </c>
      <c r="B182" s="30">
        <v>89</v>
      </c>
      <c r="C182" s="30">
        <f>RANK(B182,Table2029[Nilai],0)</f>
        <v>4</v>
      </c>
      <c r="D182" s="30"/>
      <c r="E182" s="30"/>
    </row>
    <row r="183" spans="1:5" x14ac:dyDescent="0.25">
      <c r="A183" s="30" t="s">
        <v>141</v>
      </c>
      <c r="B183" s="30">
        <v>90</v>
      </c>
      <c r="C183" s="30"/>
      <c r="D183" s="30"/>
      <c r="E183" s="30"/>
    </row>
    <row r="184" spans="1:5" x14ac:dyDescent="0.25">
      <c r="A184" s="30" t="s">
        <v>142</v>
      </c>
      <c r="B184" s="30">
        <v>80</v>
      </c>
      <c r="C184" s="30"/>
      <c r="D184" s="30"/>
      <c r="E184" s="30"/>
    </row>
    <row r="185" spans="1:5" x14ac:dyDescent="0.25">
      <c r="A185" s="30" t="s">
        <v>143</v>
      </c>
      <c r="B185" s="30">
        <v>99</v>
      </c>
      <c r="C185" s="30"/>
      <c r="D185" s="30"/>
      <c r="E185" s="30"/>
    </row>
    <row r="186" spans="1:5" x14ac:dyDescent="0.25">
      <c r="A186" s="30" t="s">
        <v>144</v>
      </c>
      <c r="B186" s="30">
        <v>97</v>
      </c>
      <c r="C186" s="30"/>
      <c r="D186" s="30"/>
      <c r="E186" s="30"/>
    </row>
    <row r="187" spans="1:5" x14ac:dyDescent="0.25">
      <c r="A187" s="30"/>
      <c r="B187" s="30"/>
      <c r="C187" s="30"/>
      <c r="D187" s="30"/>
      <c r="E187" s="30"/>
    </row>
    <row r="188" spans="1:5" x14ac:dyDescent="0.25">
      <c r="A188" s="36" t="s">
        <v>209</v>
      </c>
      <c r="B188" s="30"/>
      <c r="C188" s="30"/>
      <c r="D188" s="30"/>
      <c r="E188" s="30"/>
    </row>
    <row r="189" spans="1:5" x14ac:dyDescent="0.25">
      <c r="A189" s="30"/>
      <c r="B189" s="30"/>
      <c r="C189" s="30"/>
      <c r="D189" s="30"/>
      <c r="E189" s="30"/>
    </row>
    <row r="190" spans="1:5" x14ac:dyDescent="0.25">
      <c r="A190" s="29" t="s">
        <v>210</v>
      </c>
      <c r="B190" s="29"/>
      <c r="C190" s="29"/>
      <c r="D190" s="30"/>
      <c r="E190" s="30"/>
    </row>
    <row r="191" spans="1:5" x14ac:dyDescent="0.25">
      <c r="A191" s="30"/>
      <c r="B191" s="30"/>
      <c r="C191" s="30"/>
      <c r="D191" s="30"/>
      <c r="E191" s="30"/>
    </row>
    <row r="192" spans="1:5" x14ac:dyDescent="0.25">
      <c r="A192" s="27" t="s">
        <v>145</v>
      </c>
      <c r="B192" s="27" t="s">
        <v>1</v>
      </c>
      <c r="C192" s="27" t="s">
        <v>146</v>
      </c>
      <c r="D192" s="30"/>
      <c r="E192" s="30"/>
    </row>
    <row r="193" spans="1:5" x14ac:dyDescent="0.25">
      <c r="A193" s="30" t="s">
        <v>147</v>
      </c>
      <c r="B193" s="51">
        <v>44816</v>
      </c>
      <c r="C193" s="30" t="s">
        <v>148</v>
      </c>
      <c r="D193" s="30"/>
      <c r="E193" s="30"/>
    </row>
    <row r="194" spans="1:5" x14ac:dyDescent="0.25">
      <c r="A194" s="30" t="s">
        <v>149</v>
      </c>
      <c r="B194" s="38" t="s">
        <v>211</v>
      </c>
      <c r="C194" s="30"/>
      <c r="D194" s="30"/>
      <c r="E194" s="30"/>
    </row>
    <row r="195" spans="1:5" x14ac:dyDescent="0.25">
      <c r="A195" s="30" t="s">
        <v>150</v>
      </c>
      <c r="B195" s="38" t="s">
        <v>212</v>
      </c>
      <c r="C195" s="30"/>
      <c r="D195" s="30"/>
      <c r="E195" s="30"/>
    </row>
    <row r="196" spans="1:5" x14ac:dyDescent="0.25">
      <c r="A196" s="30"/>
      <c r="B196" s="30"/>
      <c r="C196" s="30"/>
      <c r="D196" s="30"/>
      <c r="E196" s="30"/>
    </row>
    <row r="197" spans="1:5" x14ac:dyDescent="0.25">
      <c r="A197" s="30" t="s">
        <v>204</v>
      </c>
      <c r="B197" s="30"/>
      <c r="C197" s="30"/>
      <c r="D197" s="30"/>
      <c r="E197" s="30"/>
    </row>
    <row r="198" spans="1:5" x14ac:dyDescent="0.25">
      <c r="A198" s="30"/>
      <c r="B198" s="30"/>
      <c r="C198" s="30"/>
      <c r="D198" s="30"/>
      <c r="E198" s="30"/>
    </row>
    <row r="199" spans="1:5" x14ac:dyDescent="0.25">
      <c r="A199" s="29" t="s">
        <v>213</v>
      </c>
      <c r="B199" s="29"/>
      <c r="C199" s="30"/>
      <c r="D199" s="30"/>
      <c r="E199" s="30"/>
    </row>
    <row r="200" spans="1:5" x14ac:dyDescent="0.25">
      <c r="A200" s="30"/>
      <c r="B200" s="30"/>
      <c r="C200" s="30"/>
      <c r="D200" s="30"/>
      <c r="E200" s="30"/>
    </row>
    <row r="201" spans="1:5" x14ac:dyDescent="0.25">
      <c r="A201" s="27" t="s">
        <v>27</v>
      </c>
      <c r="B201" s="27" t="s">
        <v>151</v>
      </c>
      <c r="C201" s="30"/>
      <c r="D201" s="30" t="s">
        <v>214</v>
      </c>
      <c r="E201" s="30"/>
    </row>
    <row r="202" spans="1:5" x14ac:dyDescent="0.25">
      <c r="A202" s="30" t="s">
        <v>152</v>
      </c>
      <c r="B202" s="30" t="s">
        <v>110</v>
      </c>
      <c r="C202" s="30"/>
      <c r="D202" s="30"/>
      <c r="E202" s="30"/>
    </row>
    <row r="203" spans="1:5" x14ac:dyDescent="0.25">
      <c r="A203" s="30" t="s">
        <v>153</v>
      </c>
      <c r="B203" s="30"/>
      <c r="C203" s="30"/>
      <c r="D203" s="30"/>
      <c r="E203" s="30"/>
    </row>
    <row r="204" spans="1:5" x14ac:dyDescent="0.25">
      <c r="A204" s="30" t="s">
        <v>154</v>
      </c>
      <c r="B204" s="30"/>
      <c r="C204" s="30"/>
      <c r="D204" s="30"/>
      <c r="E204" s="30"/>
    </row>
    <row r="205" spans="1:5" x14ac:dyDescent="0.25">
      <c r="A205" s="30" t="s">
        <v>155</v>
      </c>
      <c r="B205" s="30"/>
      <c r="C205" s="30"/>
      <c r="D205" s="30"/>
      <c r="E205" s="30"/>
    </row>
    <row r="206" spans="1:5" x14ac:dyDescent="0.25">
      <c r="A206" s="30"/>
      <c r="B206" s="30"/>
      <c r="C206" s="30"/>
      <c r="D206" s="30"/>
      <c r="E206" s="30"/>
    </row>
    <row r="207" spans="1:5" x14ac:dyDescent="0.25">
      <c r="A207" s="30" t="s">
        <v>204</v>
      </c>
      <c r="B207" s="30"/>
      <c r="C207" s="30"/>
      <c r="D207" s="30"/>
      <c r="E207" s="30"/>
    </row>
  </sheetData>
  <mergeCells count="16">
    <mergeCell ref="A1:C1"/>
    <mergeCell ref="A18:D18"/>
    <mergeCell ref="A35:E35"/>
    <mergeCell ref="A45:D45"/>
    <mergeCell ref="A67:E67"/>
    <mergeCell ref="A190:C190"/>
    <mergeCell ref="A199:B199"/>
    <mergeCell ref="A33:D33"/>
    <mergeCell ref="A65:D65"/>
    <mergeCell ref="A105:E105"/>
    <mergeCell ref="A118:B118"/>
    <mergeCell ref="A134:C134"/>
    <mergeCell ref="A150:C150"/>
    <mergeCell ref="A166:B166"/>
    <mergeCell ref="A179:C179"/>
    <mergeCell ref="A89:E89"/>
  </mergeCells>
  <conditionalFormatting sqref="D21:D30">
    <cfRule type="cellIs" dxfId="100" priority="1" operator="lessThan">
      <formula>0</formula>
    </cfRule>
  </conditionalFormatting>
  <pageMargins left="0.7" right="0.7" top="0.75" bottom="0.75" header="0.3" footer="0.3"/>
  <pageSetup paperSize="9" scale="77" fitToHeight="0" orientation="portrait" horizontalDpi="360" verticalDpi="360" r:id="rId2"/>
  <tableParts count="1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umur</vt:lpstr>
      <vt:lpstr>jatuh tempo</vt:lpstr>
      <vt:lpstr>laporan penjualan</vt:lpstr>
      <vt:lpstr>vlookup</vt:lpstr>
      <vt:lpstr>pivot table</vt:lpstr>
      <vt:lpstr>textjoin</vt:lpstr>
      <vt:lpstr>penjumlahan</vt:lpstr>
      <vt:lpstr>hari</vt:lpstr>
      <vt:lpstr>gabung nama</vt:lpstr>
      <vt:lpstr>memisahkan judul film</vt:lpstr>
      <vt:lpstr>belanja</vt:lpstr>
      <vt:lpstr>ranking</vt:lpstr>
      <vt:lpstr>tempat tanggal lahir</vt:lpstr>
      <vt:lpstr>nama tengah</vt:lpstr>
      <vt:lpstr>gabung</vt:lpstr>
      <vt:lpstr>gabung!Print_Area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</cp:lastModifiedBy>
  <cp:lastPrinted>2026-01-07T05:45:03Z</cp:lastPrinted>
  <dcterms:created xsi:type="dcterms:W3CDTF">2023-06-30T14:08:00Z</dcterms:created>
  <dcterms:modified xsi:type="dcterms:W3CDTF">2026-01-07T05:49:10Z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