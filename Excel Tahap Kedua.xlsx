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060" activeTab="9"/>
  </bookViews>
  <sheets>
    <sheet name="1. Operator" sheetId="19" r:id="rId1"/>
    <sheet name="2. Keuntungan" sheetId="20" r:id="rId2"/>
    <sheet name="3. Diskon" sheetId="21" r:id="rId3"/>
    <sheet name="4. Sum" sheetId="22" r:id="rId4"/>
    <sheet name="5. If" sheetId="25" r:id="rId5"/>
    <sheet name="6. Total Penjualan dengan If" sheetId="26" r:id="rId6"/>
    <sheet name="7. Pembulatan" sheetId="27" r:id="rId7"/>
    <sheet name="8. Gaji" sheetId="28" r:id="rId8"/>
    <sheet name="9. Jatuh Tempo" sheetId="29" r:id="rId9"/>
    <sheet name="10. Supplier - latihan 54" sheetId="3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<sst xmlns="http://schemas.openxmlformats.org/spreadsheetml/2006/main" count="290" uniqueCount="235">
  <si>
    <t>Link Tutorial</t>
  </si>
  <si>
    <t>https://youtu.be/y6btQi8gh2A</t>
  </si>
  <si>
    <t>Operator</t>
  </si>
  <si>
    <t>Simbol</t>
  </si>
  <si>
    <t>Fungsi</t>
  </si>
  <si>
    <t>Contoh</t>
  </si>
  <si>
    <t>Hasil</t>
  </si>
  <si>
    <t>+</t>
  </si>
  <si>
    <t>Penjumlahan</t>
  </si>
  <si>
    <t>3 + 15</t>
  </si>
  <si>
    <t>-</t>
  </si>
  <si>
    <t>Pengurangan</t>
  </si>
  <si>
    <t>20 - 7</t>
  </si>
  <si>
    <t>*</t>
  </si>
  <si>
    <t>Perkalian</t>
  </si>
  <si>
    <t>12 * 5</t>
  </si>
  <si>
    <t>/</t>
  </si>
  <si>
    <t>Pembagian</t>
  </si>
  <si>
    <t>36 / 6</t>
  </si>
  <si>
    <t>^</t>
  </si>
  <si>
    <t>Perpangkatan</t>
  </si>
  <si>
    <t>2 ^ 3</t>
  </si>
  <si>
    <t>( )</t>
  </si>
  <si>
    <t>Operasi didulukan</t>
  </si>
  <si>
    <t>( 4 + 5 ) * 3</t>
  </si>
  <si>
    <t>&amp;</t>
  </si>
  <si>
    <t>Menggabungkan teks</t>
  </si>
  <si>
    <t>Microsoft Excel</t>
  </si>
  <si>
    <t>%</t>
  </si>
  <si>
    <t>Persentase</t>
  </si>
  <si>
    <t>=</t>
  </si>
  <si>
    <t>Sama dengan</t>
  </si>
  <si>
    <t>&lt;</t>
  </si>
  <si>
    <t>Lebih kecil</t>
  </si>
  <si>
    <t>4 &lt; 5</t>
  </si>
  <si>
    <t>&gt;</t>
  </si>
  <si>
    <t>Lebih besar</t>
  </si>
  <si>
    <t>8 &gt; 1</t>
  </si>
  <si>
    <t>&lt;=</t>
  </si>
  <si>
    <t>Lebih kecil sama dengan</t>
  </si>
  <si>
    <t>10 &lt;= 11</t>
  </si>
  <si>
    <t>&gt;=</t>
  </si>
  <si>
    <t>Lebih besar sama dengan</t>
  </si>
  <si>
    <t>29 &gt;= 29</t>
  </si>
  <si>
    <t>&lt;&gt;</t>
  </si>
  <si>
    <t>Tidak sama dengan</t>
  </si>
  <si>
    <t>7 &lt;&gt; 9</t>
  </si>
  <si>
    <t>Untung adalah Penjualan dikurangi Pembelian</t>
  </si>
  <si>
    <t>Pembelian</t>
  </si>
  <si>
    <t>Penjualan</t>
  </si>
  <si>
    <t>Penjualan - Pembelian = Untung</t>
  </si>
  <si>
    <t>Untung</t>
  </si>
  <si>
    <t>No</t>
  </si>
  <si>
    <t>Nama Barang</t>
  </si>
  <si>
    <t>Jumlah</t>
  </si>
  <si>
    <t>Harga Satuan</t>
  </si>
  <si>
    <t>Harga</t>
  </si>
  <si>
    <t>Asus Tuf Gaming F15</t>
  </si>
  <si>
    <t>Toshiba R731</t>
  </si>
  <si>
    <t>HP elitebook 840 G1</t>
  </si>
  <si>
    <t>Persentase Keuntungan</t>
  </si>
  <si>
    <t>Lenovo T400</t>
  </si>
  <si>
    <t>Untung / Pembelian = %</t>
  </si>
  <si>
    <t>HP 14s-dq0510TU</t>
  </si>
  <si>
    <t>Harga Total</t>
  </si>
  <si>
    <t>Rata - Rata Pembelian</t>
  </si>
  <si>
    <t>Harga / Jumlah = Rata - Rata</t>
  </si>
  <si>
    <t>Rata - Rata</t>
  </si>
  <si>
    <t>Rata - Rata Penjualan</t>
  </si>
  <si>
    <t>Menghitung Harga Penjualan Setelah Diskon</t>
  </si>
  <si>
    <t>Diskon</t>
  </si>
  <si>
    <t>Harga Sebelum Diskon</t>
  </si>
  <si>
    <t>Potongan Harga</t>
  </si>
  <si>
    <t>Harga Setelah Diskon</t>
  </si>
  <si>
    <t>Lenovo Slim D330</t>
  </si>
  <si>
    <t>HP 11 Chromebook</t>
  </si>
  <si>
    <t>Asus Vivobook E410MA</t>
  </si>
  <si>
    <t>Dell P22T</t>
  </si>
  <si>
    <t>Asus ROG G531GD</t>
  </si>
  <si>
    <t xml:space="preserve">Lenovo Thinkpad Yoga 370 </t>
  </si>
  <si>
    <t>Asus Vivobook Flip TP1400KA</t>
  </si>
  <si>
    <t>Axioo Slimbook 13</t>
  </si>
  <si>
    <t>Lenovo Ideapad Slim 1</t>
  </si>
  <si>
    <t>Lenovo V14</t>
  </si>
  <si>
    <t>Lenovo Thinkpad Yoga X380</t>
  </si>
  <si>
    <t>Dell Vostro 3515</t>
  </si>
  <si>
    <t>Lenovo ThinkPad T460</t>
  </si>
  <si>
    <t>Dell 5480</t>
  </si>
  <si>
    <t>McBoook Air 2022</t>
  </si>
  <si>
    <t>Penjualan Mangga Bulan Januari 2023</t>
  </si>
  <si>
    <t>Tanggal</t>
  </si>
  <si>
    <t>Buah</t>
  </si>
  <si>
    <t>Rata-rata</t>
  </si>
  <si>
    <t>Nilai Terkecil</t>
  </si>
  <si>
    <t>Nilai Terbesar</t>
  </si>
  <si>
    <t>Keterangan Target</t>
  </si>
  <si>
    <t>Keterangan Target:</t>
  </si>
  <si>
    <t>&gt;15 buah</t>
  </si>
  <si>
    <t>Tercapai</t>
  </si>
  <si>
    <t>&lt;15 buah</t>
  </si>
  <si>
    <t>Gagal</t>
  </si>
  <si>
    <t>NO</t>
  </si>
  <si>
    <t>PENJUALAN LAPTOP BULAN FEBRUARI</t>
  </si>
  <si>
    <t>JUMLAH</t>
  </si>
  <si>
    <t>TOTAL BRAND MACBOOK</t>
  </si>
  <si>
    <t>TOTAL BRAND LENOVO</t>
  </si>
  <si>
    <t>KUU YEPBOOK 16</t>
  </si>
  <si>
    <t>ASUS TUF GAMING F15</t>
  </si>
  <si>
    <t>TOSHIBA R731</t>
  </si>
  <si>
    <t>HP ELITEBOOK 840 G1</t>
  </si>
  <si>
    <t>LENOVO T400</t>
  </si>
  <si>
    <t>LENOVO SLIM D330</t>
  </si>
  <si>
    <t>TOTAL BRAND ASUS</t>
  </si>
  <si>
    <t>HP 11 CHROMEBOOK N4020</t>
  </si>
  <si>
    <t>ASUS VIVOBOOK E410MA</t>
  </si>
  <si>
    <t>MACBOOK AIR 2021</t>
  </si>
  <si>
    <t>MACBOOK AIR 2017</t>
  </si>
  <si>
    <t>DELL P22T</t>
  </si>
  <si>
    <t>ASUS ROG G531GD</t>
  </si>
  <si>
    <t>LENOVO THINKPAD YOGA 370</t>
  </si>
  <si>
    <t>ASUS VIVOBOOK FLIP TP1400KA HD421</t>
  </si>
  <si>
    <t>HUAWEI MATEBOOK D 16</t>
  </si>
  <si>
    <t>ASUS E210MAO</t>
  </si>
  <si>
    <t>LAPTOP MACBOOK AIR 2018</t>
  </si>
  <si>
    <t>ASUS VIVOBOOK 14</t>
  </si>
  <si>
    <t>AXIOO SLIMBOOK 13</t>
  </si>
  <si>
    <t>Rumus</t>
  </si>
  <si>
    <t>=EVEN(6)</t>
  </si>
  <si>
    <t>=EVEN(3)</t>
  </si>
  <si>
    <t>=EVEN(7,1)</t>
  </si>
  <si>
    <t>=EVEN(2,4)</t>
  </si>
  <si>
    <t>=EVEN(-6)</t>
  </si>
  <si>
    <t>=EVEN(-3)</t>
  </si>
  <si>
    <t>=EVEN(-7,1)</t>
  </si>
  <si>
    <t>=EVEN(-2,4)</t>
  </si>
  <si>
    <t>=EVEN(H5)</t>
  </si>
  <si>
    <t>=EVEN(H6)</t>
  </si>
  <si>
    <t>=EVEN(H7)</t>
  </si>
  <si>
    <t>=EVEN(H8)</t>
  </si>
  <si>
    <t>=EVEN(H9)</t>
  </si>
  <si>
    <t>=EVEN(H10)</t>
  </si>
  <si>
    <t>=EVEN(H11)</t>
  </si>
  <si>
    <t>=EVEN(H12)</t>
  </si>
  <si>
    <t>LAPORAN GAJI KARYAWAN</t>
  </si>
  <si>
    <t>CV SUKSES BBM</t>
  </si>
  <si>
    <t>BULAN JUNI 2023</t>
  </si>
  <si>
    <t>Kode Karyawan</t>
  </si>
  <si>
    <t>Nama Karyawan</t>
  </si>
  <si>
    <t>Jabatan</t>
  </si>
  <si>
    <t>Status Perkawinan</t>
  </si>
  <si>
    <t>Jml Jam Kerja/Bulan</t>
  </si>
  <si>
    <t>Jml Jam Lembur/Bulan</t>
  </si>
  <si>
    <t>Tunjangan Profesi</t>
  </si>
  <si>
    <t>Gaji Pokok</t>
  </si>
  <si>
    <t>Gaji Lembur</t>
  </si>
  <si>
    <t>Total Gaji Bruto</t>
  </si>
  <si>
    <t>PPh 10%</t>
  </si>
  <si>
    <t>Total Gaji Neto</t>
  </si>
  <si>
    <t>NDBBM-001</t>
  </si>
  <si>
    <t>Fauzan Kusuma</t>
  </si>
  <si>
    <t>Kode karyawan</t>
  </si>
  <si>
    <t>JMBBM-002</t>
  </si>
  <si>
    <t>Edo Simon Gemilang</t>
  </si>
  <si>
    <t>NSBBM-003</t>
  </si>
  <si>
    <t>Beni Kurniawan</t>
  </si>
  <si>
    <t>Karakter pertama</t>
  </si>
  <si>
    <t>NSBBM-004</t>
  </si>
  <si>
    <t>Delta Marfuah</t>
  </si>
  <si>
    <t>N</t>
  </si>
  <si>
    <t>Kawin</t>
  </si>
  <si>
    <t>NQBBM-005</t>
  </si>
  <si>
    <t>Hendri Pamungkas</t>
  </si>
  <si>
    <t>J</t>
  </si>
  <si>
    <t>Belum Kawin</t>
  </si>
  <si>
    <t>NQBBM-006</t>
  </si>
  <si>
    <t>Jenry</t>
  </si>
  <si>
    <t>JPBBM-007</t>
  </si>
  <si>
    <t>Nelwan Hiras</t>
  </si>
  <si>
    <t>Karakter kedua</t>
  </si>
  <si>
    <t>Jam Kerja/Bulan</t>
  </si>
  <si>
    <t>Gaji Lembur/Jam</t>
  </si>
  <si>
    <t>JPBBM-008</t>
  </si>
  <si>
    <t>Ogi Setiaji</t>
  </si>
  <si>
    <t>D</t>
  </si>
  <si>
    <t>Direktur</t>
  </si>
  <si>
    <t>NPBBM-009</t>
  </si>
  <si>
    <t>Chindy Aulia Okta Utami</t>
  </si>
  <si>
    <t>M</t>
  </si>
  <si>
    <t>Manager</t>
  </si>
  <si>
    <t>JSBBM-010</t>
  </si>
  <si>
    <t>Khusnul Khotimah</t>
  </si>
  <si>
    <t>S</t>
  </si>
  <si>
    <t>Sales Marketing</t>
  </si>
  <si>
    <t>NSBBM-011</t>
  </si>
  <si>
    <t>Gilang Rahardi Jaya</t>
  </si>
  <si>
    <t>Q</t>
  </si>
  <si>
    <t>Quality Control</t>
  </si>
  <si>
    <t>NPBBM-012</t>
  </si>
  <si>
    <t>Lindan</t>
  </si>
  <si>
    <t>P</t>
  </si>
  <si>
    <t>Petugas Pengisi BBM</t>
  </si>
  <si>
    <t>NQBBM-013</t>
  </si>
  <si>
    <t>Mirna Setiawati</t>
  </si>
  <si>
    <t>JQBBM-014</t>
  </si>
  <si>
    <t>Andi Kharisma Aji</t>
  </si>
  <si>
    <t>NPBBM-015</t>
  </si>
  <si>
    <t>Indri Meilana</t>
  </si>
  <si>
    <t>Total Gaji Seluruh Karyawan</t>
  </si>
  <si>
    <t>Rata-rata Gaji Netto</t>
  </si>
  <si>
    <t>Nilai Tertinggi Gaji Netto</t>
  </si>
  <si>
    <t>Nilai Terendah Gaji Netto</t>
  </si>
  <si>
    <t>Menghitung Tanggal Jatuh Tempo</t>
  </si>
  <si>
    <t>Tanggal Mulai</t>
  </si>
  <si>
    <t>Waktu (Bulan)</t>
  </si>
  <si>
    <t>Tanggal Jatuh tempo</t>
  </si>
  <si>
    <t>Daftar Supplier Rumah Tangga</t>
  </si>
  <si>
    <t>Nama</t>
  </si>
  <si>
    <t>Harga Tiap Supplier</t>
  </si>
  <si>
    <t>SPL A</t>
  </si>
  <si>
    <t>SPL B</t>
  </si>
  <si>
    <t>SPL C</t>
  </si>
  <si>
    <t>SPL D</t>
  </si>
  <si>
    <t>SPL E</t>
  </si>
  <si>
    <t>SPL F</t>
  </si>
  <si>
    <t>SPL G</t>
  </si>
  <si>
    <t>SPL H</t>
  </si>
  <si>
    <t>SPL I</t>
  </si>
  <si>
    <t>SPL J</t>
  </si>
  <si>
    <t>Sabun Mandi</t>
  </si>
  <si>
    <t>Pasta Gigi</t>
  </si>
  <si>
    <t>Sikat Gigi</t>
  </si>
  <si>
    <t>Shampoo</t>
  </si>
  <si>
    <t>Pembersih Muka</t>
  </si>
  <si>
    <t>Hasil Assessment Harga Terendah</t>
  </si>
  <si>
    <t>Supplier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</si>
</sst>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(* #,##0_);_(* \(#,##0\);_(* &quot;-&quot;_);_(@_)"/>
    <numFmt numFmtId="43" formatCode="_(* #,##0.00_);_(* \(#,##0.00\);_(* &quot;-&quot;??_);_(@_)"/>
    <numFmt numFmtId="176" formatCode="_-&quot;Rp&quot;* #,##0.00_-;\-&quot;Rp&quot;* #,##0.00_-;_-&quot;Rp&quot;* &quot;-&quot;??_-;_-@_-"/>
    <numFmt numFmtId="177" formatCode="_-&quot;Rp&quot;* #,##0_-;\-&quot;Rp&quot;* #,##0_-;_-&quot;Rp&quot;* &quot;-&quot;??_-;_-@_-"/>
    <numFmt numFmtId="178" formatCode="_-* #,##0_-;\-* #,##0_-;_-* &quot;-&quot;??_-;_-@"/>
    <numFmt numFmtId="179" formatCode="[$-421]dd\ mmmm\ yyyy"/>
    <numFmt numFmtId="180" formatCode="[$-421]dd\ mmmm\ yyyy;@"/>
    <numFmt numFmtId="181" formatCode="_-* #,##0_-;\-* #,##0_-;_-* &quot;-&quot;_-;_-@_-"/>
  </numFmts>
  <fonts count="39">
    <font>
      <sz val="11"/>
      <color theme="1"/>
      <name val="Calibri"/>
      <charset val="1"/>
      <scheme val="minor"/>
    </font>
    <font>
      <sz val="18"/>
      <color theme="1"/>
      <name val="Calibri"/>
      <charset val="134"/>
    </font>
    <font>
      <sz val="11"/>
      <name val="Calibri"/>
      <charset val="134"/>
    </font>
    <font>
      <sz val="11"/>
      <color theme="1"/>
      <name val="Calibri"/>
      <charset val="134"/>
    </font>
    <font>
      <sz val="11"/>
      <color theme="1"/>
      <name val="Calibri"/>
      <charset val="134"/>
      <scheme val="minor"/>
    </font>
    <font>
      <sz val="14"/>
      <color theme="0"/>
      <name val="Calibri"/>
      <charset val="134"/>
    </font>
    <font>
      <sz val="14"/>
      <name val="Calibri"/>
      <charset val="134"/>
    </font>
    <font>
      <sz val="11"/>
      <color theme="0"/>
      <name val="Calibri"/>
      <charset val="134"/>
    </font>
    <font>
      <b/>
      <sz val="11"/>
      <color theme="1"/>
      <name val="Calibri"/>
      <charset val="134"/>
      <scheme val="minor"/>
    </font>
    <font>
      <sz val="11"/>
      <color rgb="FF2F5496"/>
      <name val="Calibri"/>
      <charset val="134"/>
    </font>
    <font>
      <sz val="20"/>
      <color rgb="FF2E75B5"/>
      <name val="Arial Rounded"/>
      <charset val="134"/>
    </font>
    <font>
      <sz val="14"/>
      <color rgb="FFFFFF00"/>
      <name val="Avenir"/>
      <charset val="134"/>
    </font>
    <font>
      <sz val="14"/>
      <color theme="1"/>
      <name val="Avenir"/>
      <charset val="134"/>
    </font>
    <font>
      <sz val="11"/>
      <color theme="1"/>
      <name val="Avenir"/>
      <charset val="134"/>
    </font>
    <font>
      <sz val="11"/>
      <color rgb="FFF2F2F2"/>
      <name val="Avenir"/>
      <charset val="134"/>
    </font>
    <font>
      <sz val="11"/>
      <color rgb="FF002060"/>
      <name val="Arial Rounded"/>
      <charset val="134"/>
    </font>
    <font>
      <sz val="11"/>
      <color rgb="FF2E75B5"/>
      <name val="Arial Rounded"/>
      <charset val="134"/>
    </font>
    <font>
      <sz val="11"/>
      <color rgb="FFC00000"/>
      <name val="Avenir"/>
      <charset val="134"/>
    </font>
    <font>
      <u/>
      <sz val="11"/>
      <color rgb="FF0000FF"/>
      <name val="Calibri"/>
      <charset val="134"/>
    </font>
    <font>
      <sz val="11"/>
      <color rgb="FFE3DE00"/>
      <name val="Arial Rounded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00B050"/>
        <bgColor rgb="FF00B050"/>
      </patternFill>
    </fill>
    <fill>
      <patternFill patternType="solid">
        <fgColor rgb="FF8EAADB"/>
        <bgColor rgb="FF8EAADB"/>
      </patternFill>
    </fill>
    <fill>
      <patternFill patternType="solid">
        <fgColor rgb="FFFFC000"/>
        <bgColor rgb="FFFFC000"/>
      </patternFill>
    </fill>
    <fill>
      <patternFill patternType="solid">
        <fgColor rgb="FF00B0F0"/>
        <bgColor rgb="FF00B0F0"/>
      </patternFill>
    </fill>
    <fill>
      <patternFill patternType="solid">
        <fgColor rgb="FFA8D08D"/>
        <bgColor rgb="FFA8D08D"/>
      </patternFill>
    </fill>
    <fill>
      <patternFill patternType="solid">
        <fgColor rgb="FF00B0F0"/>
        <bgColor indexed="64"/>
      </patternFill>
    </fill>
    <fill>
      <patternFill patternType="solid">
        <fgColor rgb="FF8496B0"/>
        <bgColor rgb="FF8496B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rgb="FF92D050"/>
      </patternFill>
    </fill>
    <fill>
      <patternFill patternType="solid">
        <fgColor rgb="FF2F5496"/>
        <bgColor rgb="FF2F5496"/>
      </patternFill>
    </fill>
    <fill>
      <patternFill patternType="solid">
        <fgColor rgb="FFBDD6EE"/>
        <bgColor rgb="FFBDD6EE"/>
      </patternFill>
    </fill>
    <fill>
      <patternFill patternType="solid">
        <fgColor rgb="FFBF9000"/>
        <bgColor rgb="FFBF9000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002060"/>
        <bgColor rgb="FF00206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176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4" fillId="19" borderId="20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6" fillId="0" borderId="21" applyNumberFormat="0" applyFill="0" applyAlignment="0" applyProtection="0">
      <alignment vertical="center"/>
    </xf>
    <xf numFmtId="0" fontId="27" fillId="0" borderId="22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20" borderId="23" applyNumberFormat="0" applyAlignment="0" applyProtection="0">
      <alignment vertical="center"/>
    </xf>
    <xf numFmtId="0" fontId="29" fillId="21" borderId="24" applyNumberFormat="0" applyAlignment="0" applyProtection="0">
      <alignment vertical="center"/>
    </xf>
    <xf numFmtId="0" fontId="30" fillId="21" borderId="23" applyNumberFormat="0" applyAlignment="0" applyProtection="0">
      <alignment vertical="center"/>
    </xf>
    <xf numFmtId="0" fontId="31" fillId="22" borderId="25" applyNumberFormat="0" applyAlignment="0" applyProtection="0">
      <alignment vertical="center"/>
    </xf>
    <xf numFmtId="0" fontId="32" fillId="0" borderId="26" applyNumberFormat="0" applyFill="0" applyAlignment="0" applyProtection="0">
      <alignment vertical="center"/>
    </xf>
    <xf numFmtId="0" fontId="33" fillId="0" borderId="27" applyNumberFormat="0" applyFill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6" fillId="25" borderId="0" applyNumberFormat="0" applyBorder="0" applyAlignment="0" applyProtection="0">
      <alignment vertical="center"/>
    </xf>
    <xf numFmtId="0" fontId="37" fillId="26" borderId="0" applyNumberFormat="0" applyBorder="0" applyAlignment="0" applyProtection="0">
      <alignment vertical="center"/>
    </xf>
    <xf numFmtId="0" fontId="38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7" fillId="29" borderId="0" applyNumberFormat="0" applyBorder="0" applyAlignment="0" applyProtection="0">
      <alignment vertical="center"/>
    </xf>
    <xf numFmtId="0" fontId="37" fillId="30" borderId="0" applyNumberFormat="0" applyBorder="0" applyAlignment="0" applyProtection="0">
      <alignment vertical="center"/>
    </xf>
    <xf numFmtId="0" fontId="38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7" fillId="33" borderId="0" applyNumberFormat="0" applyBorder="0" applyAlignment="0" applyProtection="0">
      <alignment vertical="center"/>
    </xf>
    <xf numFmtId="0" fontId="37" fillId="34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  <xf numFmtId="0" fontId="38" fillId="36" borderId="0" applyNumberFormat="0" applyBorder="0" applyAlignment="0" applyProtection="0">
      <alignment vertical="center"/>
    </xf>
    <xf numFmtId="0" fontId="37" fillId="37" borderId="0" applyNumberFormat="0" applyBorder="0" applyAlignment="0" applyProtection="0">
      <alignment vertical="center"/>
    </xf>
    <xf numFmtId="0" fontId="37" fillId="38" borderId="0" applyNumberFormat="0" applyBorder="0" applyAlignment="0" applyProtection="0">
      <alignment vertical="center"/>
    </xf>
    <xf numFmtId="0" fontId="38" fillId="39" borderId="0" applyNumberFormat="0" applyBorder="0" applyAlignment="0" applyProtection="0">
      <alignment vertical="center"/>
    </xf>
    <xf numFmtId="0" fontId="38" fillId="40" borderId="0" applyNumberFormat="0" applyBorder="0" applyAlignment="0" applyProtection="0">
      <alignment vertical="center"/>
    </xf>
    <xf numFmtId="0" fontId="37" fillId="16" borderId="0" applyNumberFormat="0" applyBorder="0" applyAlignment="0" applyProtection="0">
      <alignment vertical="center"/>
    </xf>
    <xf numFmtId="0" fontId="37" fillId="41" borderId="0" applyNumberFormat="0" applyBorder="0" applyAlignment="0" applyProtection="0">
      <alignment vertical="center"/>
    </xf>
    <xf numFmtId="0" fontId="38" fillId="42" borderId="0" applyNumberFormat="0" applyBorder="0" applyAlignment="0" applyProtection="0">
      <alignment vertical="center"/>
    </xf>
    <xf numFmtId="0" fontId="38" fillId="43" borderId="0" applyNumberFormat="0" applyBorder="0" applyAlignment="0" applyProtection="0">
      <alignment vertical="center"/>
    </xf>
    <xf numFmtId="0" fontId="37" fillId="44" borderId="0" applyNumberFormat="0" applyBorder="0" applyAlignment="0" applyProtection="0">
      <alignment vertical="center"/>
    </xf>
    <xf numFmtId="0" fontId="37" fillId="45" borderId="0" applyNumberFormat="0" applyBorder="0" applyAlignment="0" applyProtection="0">
      <alignment vertical="center"/>
    </xf>
    <xf numFmtId="0" fontId="38" fillId="46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7" fillId="47" borderId="0" applyNumberFormat="0" applyBorder="0" applyAlignment="0" applyProtection="0">
      <alignment vertical="center"/>
    </xf>
  </cellStyleXfs>
  <cellXfs count="103">
    <xf numFmtId="0" fontId="0" fillId="0" borderId="0" xfId="0"/>
    <xf numFmtId="0" fontId="1" fillId="2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/>
    <xf numFmtId="0" fontId="3" fillId="0" borderId="1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2" fillId="0" borderId="3" xfId="0" applyFont="1" applyFill="1" applyBorder="1" applyAlignment="1"/>
    <xf numFmtId="0" fontId="2" fillId="0" borderId="4" xfId="0" applyFont="1" applyFill="1" applyBorder="1" applyAlignment="1"/>
    <xf numFmtId="0" fontId="2" fillId="0" borderId="5" xfId="0" applyFont="1" applyFill="1" applyBorder="1" applyAlignment="1"/>
    <xf numFmtId="0" fontId="3" fillId="0" borderId="6" xfId="0" applyFont="1" applyFill="1" applyBorder="1" applyAlignment="1">
      <alignment horizontal="center" vertical="center"/>
    </xf>
    <xf numFmtId="0" fontId="3" fillId="0" borderId="6" xfId="0" applyFont="1" applyFill="1" applyBorder="1" applyAlignment="1"/>
    <xf numFmtId="178" fontId="3" fillId="0" borderId="6" xfId="0" applyNumberFormat="1" applyFont="1" applyFill="1" applyBorder="1" applyAlignment="1"/>
    <xf numFmtId="0" fontId="4" fillId="0" borderId="0" xfId="0" applyFont="1" applyFill="1" applyAlignment="1"/>
    <xf numFmtId="178" fontId="3" fillId="0" borderId="0" xfId="0" applyNumberFormat="1" applyFont="1" applyFill="1" applyAlignment="1"/>
    <xf numFmtId="0" fontId="5" fillId="3" borderId="0" xfId="0" applyFont="1" applyFill="1" applyBorder="1" applyAlignment="1">
      <alignment horizontal="center" vertical="center"/>
    </xf>
    <xf numFmtId="0" fontId="6" fillId="0" borderId="0" xfId="0" applyFont="1" applyFill="1" applyBorder="1" applyAlignment="1"/>
    <xf numFmtId="178" fontId="3" fillId="0" borderId="6" xfId="0" applyNumberFormat="1" applyFont="1" applyFill="1" applyBorder="1" applyAlignment="1">
      <alignment horizontal="center" vertical="center"/>
    </xf>
    <xf numFmtId="0" fontId="3" fillId="0" borderId="6" xfId="0" applyFont="1" applyFill="1" applyBorder="1" applyAlignment="1">
      <alignment horizontal="center"/>
    </xf>
    <xf numFmtId="0" fontId="7" fillId="4" borderId="0" xfId="0" applyFont="1" applyFill="1" applyBorder="1" applyAlignment="1">
      <alignment horizontal="center" vertical="center"/>
    </xf>
    <xf numFmtId="0" fontId="2" fillId="0" borderId="7" xfId="0" applyFont="1" applyFill="1" applyBorder="1" applyAlignment="1"/>
    <xf numFmtId="0" fontId="3" fillId="5" borderId="6" xfId="0" applyFont="1" applyFill="1" applyBorder="1" applyAlignment="1">
      <alignment horizontal="center"/>
    </xf>
    <xf numFmtId="179" fontId="3" fillId="5" borderId="6" xfId="0" applyNumberFormat="1" applyFont="1" applyFill="1" applyBorder="1" applyAlignment="1">
      <alignment horizontal="center"/>
    </xf>
    <xf numFmtId="180" fontId="3" fillId="5" borderId="6" xfId="0" applyNumberFormat="1" applyFont="1" applyFill="1" applyBorder="1" applyAlignment="1">
      <alignment horizontal="center"/>
    </xf>
    <xf numFmtId="179" fontId="3" fillId="0" borderId="6" xfId="0" applyNumberFormat="1" applyFont="1" applyFill="1" applyBorder="1" applyAlignment="1">
      <alignment horizontal="left"/>
    </xf>
    <xf numFmtId="180" fontId="3" fillId="0" borderId="6" xfId="0" applyNumberFormat="1" applyFont="1" applyFill="1" applyBorder="1" applyAlignment="1">
      <alignment horizontal="left"/>
    </xf>
    <xf numFmtId="0" fontId="8" fillId="0" borderId="0" xfId="0" applyFont="1" applyFill="1" applyAlignment="1">
      <alignment horizontal="left"/>
    </xf>
    <xf numFmtId="0" fontId="4" fillId="0" borderId="8" xfId="0" applyFont="1" applyFill="1" applyBorder="1" applyAlignment="1">
      <alignment horizontal="center" vertical="center"/>
    </xf>
    <xf numFmtId="0" fontId="4" fillId="0" borderId="9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horizontal="center" vertical="center" wrapText="1"/>
    </xf>
    <xf numFmtId="0" fontId="3" fillId="0" borderId="10" xfId="0" applyFont="1" applyFill="1" applyBorder="1" applyAlignment="1">
      <alignment horizontal="center" vertical="center" wrapText="1"/>
    </xf>
    <xf numFmtId="0" fontId="4" fillId="0" borderId="11" xfId="0" applyFont="1" applyFill="1" applyBorder="1" applyAlignment="1">
      <alignment horizontal="center"/>
    </xf>
    <xf numFmtId="0" fontId="4" fillId="0" borderId="12" xfId="0" applyFont="1" applyFill="1" applyBorder="1" applyAlignment="1"/>
    <xf numFmtId="0" fontId="4" fillId="0" borderId="12" xfId="0" applyNumberFormat="1" applyFont="1" applyFill="1" applyBorder="1" applyAlignment="1">
      <alignment horizontal="left"/>
    </xf>
    <xf numFmtId="0" fontId="4" fillId="0" borderId="12" xfId="0" applyNumberFormat="1" applyFont="1" applyFill="1" applyBorder="1" applyAlignment="1"/>
    <xf numFmtId="0" fontId="4" fillId="0" borderId="12" xfId="0" applyFont="1" applyFill="1" applyBorder="1" applyAlignment="1">
      <alignment horizontal="center"/>
    </xf>
    <xf numFmtId="0" fontId="4" fillId="0" borderId="12" xfId="0" applyNumberFormat="1" applyFont="1" applyFill="1" applyBorder="1" applyAlignment="1">
      <alignment horizontal="center"/>
    </xf>
    <xf numFmtId="181" fontId="4" fillId="0" borderId="12" xfId="4" applyNumberFormat="1" applyFont="1" applyBorder="1" applyAlignment="1"/>
    <xf numFmtId="181" fontId="4" fillId="0" borderId="12" xfId="0" applyNumberFormat="1" applyFont="1" applyFill="1" applyBorder="1" applyAlignment="1"/>
    <xf numFmtId="181" fontId="4" fillId="0" borderId="13" xfId="0" applyNumberFormat="1" applyFont="1" applyFill="1" applyBorder="1" applyAlignment="1"/>
    <xf numFmtId="0" fontId="3" fillId="0" borderId="0" xfId="0" applyFont="1" applyFill="1" applyAlignment="1">
      <alignment horizontal="center" vertical="center"/>
    </xf>
    <xf numFmtId="0" fontId="4" fillId="0" borderId="14" xfId="0" applyFont="1" applyFill="1" applyBorder="1" applyAlignment="1">
      <alignment horizontal="center"/>
    </xf>
    <xf numFmtId="0" fontId="4" fillId="0" borderId="15" xfId="0" applyFont="1" applyFill="1" applyBorder="1" applyAlignment="1"/>
    <xf numFmtId="0" fontId="4" fillId="0" borderId="15" xfId="0" applyNumberFormat="1" applyFont="1" applyFill="1" applyBorder="1" applyAlignment="1">
      <alignment horizontal="left"/>
    </xf>
    <xf numFmtId="0" fontId="4" fillId="0" borderId="15" xfId="0" applyNumberFormat="1" applyFont="1" applyFill="1" applyBorder="1" applyAlignment="1"/>
    <xf numFmtId="0" fontId="4" fillId="0" borderId="15" xfId="0" applyFont="1" applyFill="1" applyBorder="1" applyAlignment="1">
      <alignment horizontal="center"/>
    </xf>
    <xf numFmtId="0" fontId="4" fillId="0" borderId="15" xfId="0" applyNumberFormat="1" applyFont="1" applyFill="1" applyBorder="1" applyAlignment="1">
      <alignment horizontal="center"/>
    </xf>
    <xf numFmtId="181" fontId="4" fillId="0" borderId="15" xfId="4" applyNumberFormat="1" applyFont="1" applyBorder="1" applyAlignment="1"/>
    <xf numFmtId="181" fontId="4" fillId="0" borderId="15" xfId="0" applyNumberFormat="1" applyFont="1" applyFill="1" applyBorder="1" applyAlignment="1"/>
    <xf numFmtId="181" fontId="4" fillId="0" borderId="16" xfId="0" applyNumberFormat="1" applyFont="1" applyFill="1" applyBorder="1" applyAlignment="1"/>
    <xf numFmtId="0" fontId="4" fillId="0" borderId="0" xfId="0" applyFont="1" applyFill="1" applyBorder="1" applyAlignment="1">
      <alignment horizontal="center"/>
    </xf>
    <xf numFmtId="0" fontId="4" fillId="0" borderId="0" xfId="0" applyFont="1" applyFill="1" applyBorder="1" applyAlignment="1"/>
    <xf numFmtId="0" fontId="4" fillId="0" borderId="13" xfId="0" applyFont="1" applyFill="1" applyBorder="1" applyAlignment="1">
      <alignment horizontal="left"/>
    </xf>
    <xf numFmtId="0" fontId="4" fillId="0" borderId="17" xfId="0" applyFont="1" applyFill="1" applyBorder="1" applyAlignment="1">
      <alignment horizontal="left"/>
    </xf>
    <xf numFmtId="0" fontId="4" fillId="0" borderId="11" xfId="0" applyFont="1" applyFill="1" applyBorder="1" applyAlignment="1">
      <alignment horizontal="left"/>
    </xf>
    <xf numFmtId="0" fontId="3" fillId="6" borderId="6" xfId="0" applyFont="1" applyFill="1" applyBorder="1" applyAlignment="1">
      <alignment horizontal="center"/>
    </xf>
    <xf numFmtId="0" fontId="9" fillId="7" borderId="6" xfId="0" applyFont="1" applyFill="1" applyBorder="1" applyAlignment="1"/>
    <xf numFmtId="0" fontId="9" fillId="7" borderId="6" xfId="0" applyFont="1" applyFill="1" applyBorder="1" applyAlignment="1">
      <alignment horizontal="center"/>
    </xf>
    <xf numFmtId="0" fontId="3" fillId="6" borderId="12" xfId="0" applyFont="1" applyFill="1" applyBorder="1" applyAlignment="1">
      <alignment horizontal="center"/>
    </xf>
    <xf numFmtId="0" fontId="3" fillId="8" borderId="12" xfId="0" applyFont="1" applyFill="1" applyBorder="1" applyAlignment="1"/>
    <xf numFmtId="0" fontId="3" fillId="0" borderId="12" xfId="0" applyFont="1" applyFill="1" applyBorder="1" applyAlignment="1">
      <alignment horizontal="center"/>
    </xf>
    <xf numFmtId="0" fontId="4" fillId="8" borderId="12" xfId="0" applyFont="1" applyFill="1" applyBorder="1" applyAlignment="1">
      <alignment horizontal="center"/>
    </xf>
    <xf numFmtId="0" fontId="3" fillId="7" borderId="0" xfId="0" applyFont="1" applyFill="1" applyBorder="1" applyAlignment="1">
      <alignment horizontal="center" vertical="center" wrapText="1"/>
    </xf>
    <xf numFmtId="0" fontId="3" fillId="9" borderId="6" xfId="0" applyFont="1" applyFill="1" applyBorder="1" applyAlignment="1">
      <alignment horizontal="center" vertical="center"/>
    </xf>
    <xf numFmtId="0" fontId="8" fillId="10" borderId="13" xfId="0" applyFont="1" applyFill="1" applyBorder="1" applyAlignment="1">
      <alignment horizontal="left"/>
    </xf>
    <xf numFmtId="0" fontId="8" fillId="10" borderId="11" xfId="0" applyFont="1" applyFill="1" applyBorder="1" applyAlignment="1">
      <alignment horizontal="left"/>
    </xf>
    <xf numFmtId="0" fontId="8" fillId="10" borderId="12" xfId="0" applyFont="1" applyFill="1" applyBorder="1" applyAlignment="1"/>
    <xf numFmtId="0" fontId="3" fillId="7" borderId="7" xfId="0" applyFont="1" applyFill="1" applyBorder="1" applyAlignment="1">
      <alignment horizontal="center" wrapText="1"/>
    </xf>
    <xf numFmtId="0" fontId="8" fillId="10" borderId="0" xfId="0" applyFont="1" applyFill="1" applyAlignment="1"/>
    <xf numFmtId="0" fontId="10" fillId="11" borderId="0" xfId="0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9" fontId="12" fillId="13" borderId="1" xfId="0" applyNumberFormat="1" applyFont="1" applyFill="1" applyBorder="1" applyAlignment="1">
      <alignment horizontal="center" vertical="center"/>
    </xf>
    <xf numFmtId="0" fontId="13" fillId="0" borderId="6" xfId="0" applyFont="1" applyFill="1" applyBorder="1" applyAlignment="1">
      <alignment horizontal="center" vertical="center"/>
    </xf>
    <xf numFmtId="178" fontId="13" fillId="0" borderId="6" xfId="0" applyNumberFormat="1" applyFont="1" applyFill="1" applyBorder="1" applyAlignment="1">
      <alignment horizontal="center" vertical="center"/>
    </xf>
    <xf numFmtId="0" fontId="13" fillId="0" borderId="6" xfId="0" applyFont="1" applyFill="1" applyBorder="1" applyAlignment="1"/>
    <xf numFmtId="3" fontId="13" fillId="0" borderId="6" xfId="0" applyNumberFormat="1" applyFont="1" applyFill="1" applyBorder="1" applyAlignment="1"/>
    <xf numFmtId="178" fontId="13" fillId="0" borderId="6" xfId="0" applyNumberFormat="1" applyFont="1" applyFill="1" applyBorder="1" applyAlignment="1"/>
    <xf numFmtId="0" fontId="13" fillId="0" borderId="0" xfId="0" applyFont="1" applyFill="1" applyAlignment="1"/>
    <xf numFmtId="0" fontId="13" fillId="0" borderId="5" xfId="0" applyFont="1" applyFill="1" applyBorder="1" applyAlignment="1"/>
    <xf numFmtId="0" fontId="14" fillId="14" borderId="2" xfId="0" applyFont="1" applyFill="1" applyBorder="1" applyAlignment="1">
      <alignment horizontal="center" vertical="center"/>
    </xf>
    <xf numFmtId="0" fontId="15" fillId="5" borderId="0" xfId="0" applyFont="1" applyFill="1" applyBorder="1" applyAlignment="1">
      <alignment horizontal="center" vertical="center"/>
    </xf>
    <xf numFmtId="0" fontId="16" fillId="11" borderId="0" xfId="0" applyFont="1" applyFill="1" applyBorder="1" applyAlignment="1">
      <alignment horizontal="center" vertical="center"/>
    </xf>
    <xf numFmtId="0" fontId="17" fillId="15" borderId="6" xfId="0" applyFont="1" applyFill="1" applyBorder="1" applyAlignment="1">
      <alignment horizontal="center"/>
    </xf>
    <xf numFmtId="181" fontId="13" fillId="15" borderId="6" xfId="4" applyNumberFormat="1" applyFont="1" applyFill="1" applyBorder="1" applyAlignment="1"/>
    <xf numFmtId="181" fontId="13" fillId="15" borderId="6" xfId="4" applyNumberFormat="1" applyFont="1" applyFill="1" applyBorder="1" applyAlignment="1">
      <alignment horizontal="center"/>
    </xf>
    <xf numFmtId="181" fontId="13" fillId="0" borderId="6" xfId="4" applyNumberFormat="1" applyFont="1" applyBorder="1" applyAlignment="1"/>
    <xf numFmtId="0" fontId="3" fillId="16" borderId="6" xfId="0" applyFont="1" applyFill="1" applyBorder="1" applyAlignment="1"/>
    <xf numFmtId="181" fontId="3" fillId="16" borderId="6" xfId="0" applyNumberFormat="1" applyFont="1" applyFill="1" applyBorder="1" applyAlignment="1"/>
    <xf numFmtId="0" fontId="3" fillId="17" borderId="6" xfId="0" applyFont="1" applyFill="1" applyBorder="1" applyAlignment="1"/>
    <xf numFmtId="181" fontId="3" fillId="17" borderId="6" xfId="0" applyNumberFormat="1" applyFont="1" applyFill="1" applyBorder="1" applyAlignment="1"/>
    <xf numFmtId="9" fontId="13" fillId="15" borderId="6" xfId="3" applyFont="1" applyFill="1" applyBorder="1" applyAlignment="1">
      <alignment horizontal="center"/>
    </xf>
    <xf numFmtId="0" fontId="13" fillId="15" borderId="6" xfId="0" applyFont="1" applyFill="1" applyBorder="1" applyAlignment="1">
      <alignment horizontal="center"/>
    </xf>
    <xf numFmtId="181" fontId="13" fillId="15" borderId="6" xfId="0" applyNumberFormat="1" applyFont="1" applyFill="1" applyBorder="1" applyAlignment="1">
      <alignment horizontal="center" vertical="center"/>
    </xf>
    <xf numFmtId="181" fontId="13" fillId="15" borderId="6" xfId="0" applyNumberFormat="1" applyFont="1" applyFill="1" applyBorder="1" applyAlignment="1"/>
    <xf numFmtId="0" fontId="18" fillId="0" borderId="0" xfId="0" applyFont="1" applyFill="1" applyAlignment="1"/>
    <xf numFmtId="0" fontId="19" fillId="18" borderId="0" xfId="0" applyFont="1" applyFill="1" applyBorder="1" applyAlignment="1">
      <alignment horizontal="center" vertical="center"/>
    </xf>
    <xf numFmtId="0" fontId="13" fillId="0" borderId="4" xfId="0" applyFont="1" applyFill="1" applyBorder="1" applyAlignment="1">
      <alignment horizontal="center"/>
    </xf>
    <xf numFmtId="0" fontId="13" fillId="0" borderId="6" xfId="0" applyFont="1" applyFill="1" applyBorder="1" applyAlignment="1">
      <alignment horizontal="center"/>
    </xf>
    <xf numFmtId="0" fontId="13" fillId="0" borderId="2" xfId="0" applyFont="1" applyFill="1" applyBorder="1" applyAlignment="1">
      <alignment horizontal="center"/>
    </xf>
    <xf numFmtId="49" fontId="13" fillId="0" borderId="6" xfId="0" applyNumberFormat="1" applyFont="1" applyFill="1" applyBorder="1" applyAlignment="1">
      <alignment horizontal="center"/>
    </xf>
    <xf numFmtId="9" fontId="13" fillId="0" borderId="6" xfId="0" applyNumberFormat="1" applyFont="1" applyFill="1" applyBorder="1" applyAlignment="1">
      <alignment horizontal="center"/>
    </xf>
    <xf numFmtId="0" fontId="13" fillId="0" borderId="18" xfId="0" applyFont="1" applyFill="1" applyBorder="1" applyAlignment="1">
      <alignment horizontal="center"/>
    </xf>
    <xf numFmtId="0" fontId="13" fillId="0" borderId="1" xfId="0" applyFont="1" applyFill="1" applyBorder="1" applyAlignment="1"/>
    <xf numFmtId="0" fontId="13" fillId="0" borderId="1" xfId="0" applyFont="1" applyFill="1" applyBorder="1" applyAlignment="1">
      <alignment horizontal="center"/>
    </xf>
    <xf numFmtId="0" fontId="13" fillId="0" borderId="19" xfId="0" applyFont="1" applyFill="1" applyBorder="1" applyAlignment="1">
      <alignment horizontal="center"/>
    </xf>
    <xf numFmtId="0" fontId="3" fillId="0" borderId="6" xfId="0" applyFont="1" applyFill="1" applyBorder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181" formatCode="_-* #,##0_-;\-* #,##0_-;_-* &quot;-&quot;_-;_-@_-"/>
    </dxf>
    <dxf>
      <numFmt numFmtId="181" formatCode="_-* #,##0_-;\-* #,##0_-;_-* &quot;-&quot;_-;_-@_-"/>
    </dxf>
    <dxf>
      <numFmt numFmtId="181" formatCode="_-* #,##0_-;\-* #,##0_-;_-* &quot;-&quot;_-;_-@_-"/>
    </dxf>
    <dxf>
      <numFmt numFmtId="181" formatCode="_-* #,##0_-;\-* #,##0_-;_-* &quot;-&quot;_-;_-@_-"/>
    </dxf>
    <dxf>
      <numFmt numFmtId="181" formatCode="_-* #,##0_-;\-* #,##0_-;_-* &quot;-&quot;_-;_-@_-"/>
    </dxf>
    <dxf>
      <numFmt numFmtId="181" formatCode="_-* #,##0_-;\-* #,##0_-;_-* &quot;-&quot;_-;_-@_-"/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8"/>
          <bgColor theme="8"/>
        </patternFill>
      </fill>
    </dxf>
  </dxfs>
  <tableStyles count="1" defaultTableStyle="TableStyleMedium2" defaultPivotStyle="PivotStyleLight16">
    <tableStyle name="Sheet1-style" pivot="0" count="3" xr9:uid="{A302C4EE-B23B-49E4-8C20-A22459528D21}">
      <tableStyleElement type="headerRow" dxfId="11"/>
      <tableStyleElement type="firstRowStripe" dxfId="10"/>
      <tableStyleElement type="secondRowStripe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C5:F19">
  <tableColumns count="4">
    <tableColumn id="1" name="Simbol"/>
    <tableColumn id="2" name="Fungsi"/>
    <tableColumn id="3" name="Contoh"/>
    <tableColumn id="4" name="Hasil"/>
  </tableColumns>
  <tableStyleInfo name="Sheet1-style" showFirstColumn="1" showLastColumn="1" showRowStripes="1" showColumnStripes="0"/>
</table>
</file>

<file path=xl/tables/table2.xml><?xml version="1.0" encoding="utf-8"?>
<table xmlns="http://schemas.openxmlformats.org/spreadsheetml/2006/main" id="2" name="Table1" displayName="Table1" ref="A5:M20" totalsRowShown="0">
  <autoFilter xmlns:etc="http://www.wps.cn/officeDocument/2017/etCustomData" ref="A5:M20" etc:filterBottomFollowUsedRange="0"/>
  <tableColumns count="13">
    <tableColumn id="1" name="No"/>
    <tableColumn id="2" name="Kode Karyawan"/>
    <tableColumn id="3" name="Nama Karyawan"/>
    <tableColumn id="4" name="Jabatan" dataDxfId="0">
      <calculatedColumnFormula>IF(MID(B6,2,1)="D","Direktur",IF(MID(B6,2,1)="M","Manager",IF(MID(B6,2,1)="S","Sales Marketing",IF(MID(B6,2,1)="Q","Quality Control",IF(MID(B6,2,1)="P","Petugas Pengisi BBM")))))</calculatedColumnFormula>
    </tableColumn>
    <tableColumn id="5" name="Status Perkawinan" dataDxfId="1">
      <calculatedColumnFormula>IF(MID(B6,1,1)="N","Kawin",IF(MID(B6,1,1)="J","Belum Kawin"))</calculatedColumnFormula>
    </tableColumn>
    <tableColumn id="6" name="Jml Jam Kerja/Bulan"/>
    <tableColumn id="7" name="Jml Jam Lembur/Bulan" dataDxfId="2">
      <calculatedColumnFormula>IF(OR(D6="Direktur",D6="Manager"),F6-880,F6-1040)</calculatedColumnFormula>
    </tableColumn>
    <tableColumn id="8" name="Tunjangan Profesi" dataDxfId="3">
      <calculatedColumnFormula>VLOOKUP(D6,$Q$13:$U$18,3,0)</calculatedColumnFormula>
    </tableColumn>
    <tableColumn id="9" name="Gaji Pokok" dataDxfId="4">
      <calculatedColumnFormula>VLOOKUP(D6,$Q$13:$U$18,4,0)</calculatedColumnFormula>
    </tableColumn>
    <tableColumn id="10" name="Gaji Lembur" dataDxfId="5">
      <calculatedColumnFormula>VLOOKUP(D6,$Q$13:$U$18,5,0)*G6</calculatedColumnFormula>
    </tableColumn>
    <tableColumn id="11" name="Total Gaji Bruto" dataDxfId="6">
      <calculatedColumnFormula>SUM(H6:J6)</calculatedColumnFormula>
    </tableColumn>
    <tableColumn id="12" name="PPh 10%" dataDxfId="7">
      <calculatedColumnFormula>K6*10%</calculatedColumnFormula>
    </tableColumn>
    <tableColumn id="13" name="Total Gaji Neto" dataDxfId="8">
      <calculatedColumnFormula>K6-L6</calculatedColumnFormula>
    </tableColumn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youtu.be/y6btQi8gh2A" TargetMode="External"/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00"/>
  <sheetViews>
    <sheetView workbookViewId="0">
      <selection activeCell="F7" sqref="F7"/>
    </sheetView>
  </sheetViews>
  <sheetFormatPr defaultColWidth="14.4285714285714" defaultRowHeight="15" customHeight="1" outlineLevelCol="5"/>
  <cols>
    <col min="1" max="1" width="8.71428571428571" style="11" customWidth="1"/>
    <col min="2" max="2" width="11.4285714285714" style="11" customWidth="1"/>
    <col min="3" max="3" width="11.7142857142857" style="11" customWidth="1"/>
    <col min="4" max="4" width="24.7142857142857" style="11" customWidth="1"/>
    <col min="5" max="5" width="15.5714285714286" style="11" customWidth="1"/>
    <col min="6" max="6" width="16.2857142857143" style="11" customWidth="1"/>
    <col min="7" max="26" width="8.71428571428571" style="11" customWidth="1"/>
    <col min="27" max="16384" width="14.4285714285714" style="11"/>
  </cols>
  <sheetData>
    <row r="1" s="11" customFormat="1" ht="14.25" customHeight="1" spans="1:6">
      <c r="A1" s="11" t="s">
        <v>0</v>
      </c>
      <c r="B1" s="11"/>
      <c r="C1" s="92" t="s">
        <v>1</v>
      </c>
    </row>
    <row r="2" s="11" customFormat="1" ht="14.25" customHeight="1"/>
    <row r="3" s="11" customFormat="1" ht="14.25" customHeight="1" spans="1:6">
      <c r="C3" s="93" t="s">
        <v>2</v>
      </c>
      <c r="D3" s="2"/>
      <c r="E3" s="2"/>
      <c r="F3" s="2"/>
    </row>
    <row r="4" s="11" customFormat="1" ht="14.25" customHeight="1" spans="1:6">
      <c r="C4" s="2"/>
      <c r="D4" s="2"/>
      <c r="E4" s="2"/>
      <c r="F4" s="2"/>
    </row>
    <row r="5" s="11" customFormat="1" ht="14.25" customHeight="1" spans="1:6">
      <c r="C5" s="94" t="s">
        <v>3</v>
      </c>
      <c r="D5" s="95" t="s">
        <v>4</v>
      </c>
      <c r="E5" s="95" t="s">
        <v>5</v>
      </c>
      <c r="F5" s="96" t="s">
        <v>6</v>
      </c>
    </row>
    <row r="6" s="11" customFormat="1" ht="14.25" customHeight="1" spans="1:6">
      <c r="C6" s="94" t="s">
        <v>7</v>
      </c>
      <c r="D6" s="72" t="s">
        <v>8</v>
      </c>
      <c r="E6" s="95" t="s">
        <v>9</v>
      </c>
      <c r="F6" s="96">
        <f>3+15</f>
        <v>18</v>
      </c>
    </row>
    <row r="7" s="11" customFormat="1" ht="14.25" customHeight="1" spans="1:6">
      <c r="C7" s="94" t="s">
        <v>10</v>
      </c>
      <c r="D7" s="72" t="s">
        <v>11</v>
      </c>
      <c r="E7" s="97" t="s">
        <v>12</v>
      </c>
      <c r="F7" s="96">
        <f>20-7</f>
        <v>13</v>
      </c>
    </row>
    <row r="8" s="11" customFormat="1" ht="14.25" customHeight="1" spans="1:6">
      <c r="C8" s="94" t="s">
        <v>13</v>
      </c>
      <c r="D8" s="72" t="s">
        <v>14</v>
      </c>
      <c r="E8" s="95" t="s">
        <v>15</v>
      </c>
      <c r="F8" s="96">
        <f>12*5</f>
        <v>60</v>
      </c>
    </row>
    <row r="9" s="11" customFormat="1" ht="14.25" customHeight="1" spans="1:6">
      <c r="C9" s="94" t="s">
        <v>16</v>
      </c>
      <c r="D9" s="72" t="s">
        <v>17</v>
      </c>
      <c r="E9" s="95" t="s">
        <v>18</v>
      </c>
      <c r="F9" s="96">
        <f>36/6</f>
        <v>6</v>
      </c>
    </row>
    <row r="10" s="11" customFormat="1" ht="14.25" customHeight="1" spans="1:6">
      <c r="C10" s="94" t="s">
        <v>19</v>
      </c>
      <c r="D10" s="72" t="s">
        <v>20</v>
      </c>
      <c r="E10" s="95" t="s">
        <v>21</v>
      </c>
      <c r="F10" s="96">
        <f>2^3</f>
        <v>8</v>
      </c>
    </row>
    <row r="11" s="11" customFormat="1" ht="14.25" customHeight="1" spans="1:6">
      <c r="C11" s="94" t="s">
        <v>22</v>
      </c>
      <c r="D11" s="72" t="s">
        <v>23</v>
      </c>
      <c r="E11" s="95" t="s">
        <v>24</v>
      </c>
      <c r="F11" s="96">
        <f>(4+5)*3</f>
        <v>27</v>
      </c>
    </row>
    <row r="12" s="11" customFormat="1" ht="14.25" customHeight="1" spans="1:6">
      <c r="C12" s="94" t="s">
        <v>25</v>
      </c>
      <c r="D12" s="72" t="s">
        <v>26</v>
      </c>
      <c r="E12" s="95" t="s">
        <v>27</v>
      </c>
      <c r="F12" s="96" t="str">
        <f>"Microsoft"&amp;"Excel"</f>
        <v>MicrosoftExcel</v>
      </c>
    </row>
    <row r="13" s="11" customFormat="1" ht="14.25" customHeight="1" spans="1:6">
      <c r="C13" s="94" t="s">
        <v>28</v>
      </c>
      <c r="D13" s="72" t="s">
        <v>29</v>
      </c>
      <c r="E13" s="98">
        <v>0.2</v>
      </c>
      <c r="F13" s="96">
        <f>20%</f>
        <v>0.2</v>
      </c>
    </row>
    <row r="14" s="11" customFormat="1" ht="14.25" customHeight="1" spans="1:6">
      <c r="C14" s="94" t="s">
        <v>30</v>
      </c>
      <c r="D14" s="72" t="s">
        <v>31</v>
      </c>
      <c r="E14" s="95"/>
      <c r="F14" s="96" t="s">
        <v>30</v>
      </c>
    </row>
    <row r="15" s="11" customFormat="1" ht="14.25" customHeight="1" spans="1:6">
      <c r="C15" s="94" t="s">
        <v>32</v>
      </c>
      <c r="D15" s="72" t="s">
        <v>33</v>
      </c>
      <c r="E15" s="95" t="s">
        <v>34</v>
      </c>
      <c r="F15" s="96" t="b">
        <f>4&lt;5</f>
        <v>1</v>
      </c>
    </row>
    <row r="16" s="11" customFormat="1" ht="14.25" customHeight="1" spans="1:6">
      <c r="C16" s="94" t="s">
        <v>35</v>
      </c>
      <c r="D16" s="72" t="s">
        <v>36</v>
      </c>
      <c r="E16" s="95" t="s">
        <v>37</v>
      </c>
      <c r="F16" s="96" t="b">
        <f>8&gt;1</f>
        <v>1</v>
      </c>
    </row>
    <row r="17" s="11" customFormat="1" ht="14.25" customHeight="1" spans="3:6">
      <c r="C17" s="94" t="s">
        <v>38</v>
      </c>
      <c r="D17" s="72" t="s">
        <v>39</v>
      </c>
      <c r="E17" s="95" t="s">
        <v>40</v>
      </c>
      <c r="F17" s="96" t="b">
        <f>10&lt;=11</f>
        <v>1</v>
      </c>
    </row>
    <row r="18" s="11" customFormat="1" ht="14.25" customHeight="1" spans="3:6">
      <c r="C18" s="94" t="s">
        <v>41</v>
      </c>
      <c r="D18" s="72" t="s">
        <v>42</v>
      </c>
      <c r="E18" s="95" t="s">
        <v>43</v>
      </c>
      <c r="F18" s="96" t="b">
        <f>29&gt;=29</f>
        <v>1</v>
      </c>
    </row>
    <row r="19" s="11" customFormat="1" ht="14.25" customHeight="1" spans="3:6">
      <c r="C19" s="99" t="s">
        <v>44</v>
      </c>
      <c r="D19" s="100" t="s">
        <v>45</v>
      </c>
      <c r="E19" s="101" t="s">
        <v>46</v>
      </c>
      <c r="F19" s="102" t="b">
        <f>7&lt;&gt;9</f>
        <v>1</v>
      </c>
    </row>
    <row r="20" s="11" customFormat="1" ht="14.25" customHeight="1"/>
    <row r="21" s="11" customFormat="1" ht="14.25" customHeight="1"/>
    <row r="22" s="11" customFormat="1" ht="14.25" customHeight="1"/>
    <row r="23" s="11" customFormat="1" ht="14.25" customHeight="1"/>
    <row r="24" s="11" customFormat="1" ht="14.25" customHeight="1"/>
    <row r="25" s="11" customFormat="1" ht="14.25" customHeight="1"/>
    <row r="26" s="11" customFormat="1" ht="14.25" customHeight="1"/>
    <row r="27" s="11" customFormat="1" ht="14.25" customHeight="1"/>
    <row r="28" s="11" customFormat="1" ht="14.25" customHeight="1"/>
    <row r="29" s="11" customFormat="1" ht="14.25" customHeight="1"/>
    <row r="30" s="11" customFormat="1" ht="14.25" customHeight="1"/>
    <row r="31" s="11" customFormat="1" ht="14.25" customHeight="1"/>
    <row r="32" s="11" customFormat="1" ht="14.25" customHeight="1"/>
    <row r="33" s="11" customFormat="1" ht="14.25" customHeight="1"/>
    <row r="34" s="11" customFormat="1" ht="14.25" customHeight="1"/>
    <row r="35" s="11" customFormat="1" ht="14.25" customHeight="1"/>
    <row r="36" s="11" customFormat="1" ht="14.25" customHeight="1"/>
    <row r="37" s="11" customFormat="1" ht="14.25" customHeight="1"/>
    <row r="38" s="11" customFormat="1" ht="14.25" customHeight="1"/>
    <row r="39" s="11" customFormat="1" ht="14.25" customHeight="1"/>
    <row r="40" s="11" customFormat="1" ht="14.25" customHeight="1"/>
    <row r="41" s="11" customFormat="1" ht="14.25" customHeight="1"/>
    <row r="42" s="11" customFormat="1" ht="14.25" customHeight="1"/>
    <row r="43" s="11" customFormat="1" ht="14.25" customHeight="1"/>
    <row r="44" s="11" customFormat="1" ht="14.25" customHeight="1"/>
    <row r="45" s="11" customFormat="1" ht="14.25" customHeight="1"/>
    <row r="46" s="11" customFormat="1" ht="14.25" customHeight="1"/>
    <row r="47" s="11" customFormat="1" ht="14.25" customHeight="1"/>
    <row r="48" s="11" customFormat="1" ht="14.25" customHeight="1"/>
    <row r="49" s="11" customFormat="1" ht="14.25" customHeight="1"/>
    <row r="50" s="11" customFormat="1" ht="14.25" customHeight="1"/>
    <row r="51" s="11" customFormat="1" ht="14.25" customHeight="1"/>
    <row r="52" s="11" customFormat="1" ht="14.25" customHeight="1"/>
    <row r="53" s="11" customFormat="1" ht="14.25" customHeight="1"/>
    <row r="54" s="11" customFormat="1" ht="14.25" customHeight="1"/>
    <row r="55" s="11" customFormat="1" ht="14.25" customHeight="1"/>
    <row r="56" s="11" customFormat="1" ht="14.25" customHeight="1"/>
    <row r="57" s="11" customFormat="1" ht="14.25" customHeight="1"/>
    <row r="58" s="11" customFormat="1" ht="14.25" customHeight="1"/>
    <row r="59" s="11" customFormat="1" ht="14.25" customHeight="1"/>
    <row r="60" s="11" customFormat="1" ht="14.25" customHeight="1"/>
    <row r="61" s="11" customFormat="1" ht="14.25" customHeight="1"/>
    <row r="62" s="11" customFormat="1" ht="14.25" customHeight="1"/>
    <row r="63" s="11" customFormat="1" ht="14.25" customHeight="1"/>
    <row r="64" s="11" customFormat="1" ht="14.25" customHeight="1"/>
    <row r="65" s="11" customFormat="1" ht="14.25" customHeight="1"/>
    <row r="66" s="11" customFormat="1" ht="14.25" customHeight="1"/>
    <row r="67" s="11" customFormat="1" ht="14.25" customHeight="1"/>
    <row r="68" s="11" customFormat="1" ht="14.25" customHeight="1"/>
    <row r="69" s="11" customFormat="1" ht="14.25" customHeight="1"/>
    <row r="70" s="11" customFormat="1" ht="14.25" customHeight="1"/>
    <row r="71" s="11" customFormat="1" ht="14.25" customHeight="1"/>
    <row r="72" s="11" customFormat="1" ht="14.25" customHeight="1"/>
    <row r="73" s="11" customFormat="1" ht="14.25" customHeight="1"/>
    <row r="74" s="11" customFormat="1" ht="14.25" customHeight="1"/>
    <row r="75" s="11" customFormat="1" ht="14.25" customHeight="1"/>
    <row r="76" s="11" customFormat="1" ht="14.25" customHeight="1"/>
    <row r="77" s="11" customFormat="1" ht="14.25" customHeight="1"/>
    <row r="78" s="11" customFormat="1" ht="14.25" customHeight="1"/>
    <row r="79" s="11" customFormat="1" ht="14.25" customHeight="1"/>
    <row r="80" s="11" customFormat="1" ht="14.25" customHeight="1"/>
    <row r="81" s="11" customFormat="1" ht="14.25" customHeight="1"/>
    <row r="82" s="11" customFormat="1" ht="14.25" customHeight="1"/>
    <row r="83" s="11" customFormat="1" ht="14.25" customHeight="1"/>
    <row r="84" s="11" customFormat="1" ht="14.25" customHeight="1"/>
    <row r="85" s="11" customFormat="1" ht="14.25" customHeight="1"/>
    <row r="86" s="11" customFormat="1" ht="14.25" customHeight="1"/>
    <row r="87" s="11" customFormat="1" ht="14.25" customHeight="1"/>
    <row r="88" s="11" customFormat="1" ht="14.25" customHeight="1"/>
    <row r="89" s="11" customFormat="1" ht="14.25" customHeight="1"/>
    <row r="90" s="11" customFormat="1" ht="14.25" customHeight="1"/>
    <row r="91" s="11" customFormat="1" ht="14.25" customHeight="1"/>
    <row r="92" s="11" customFormat="1" ht="14.25" customHeight="1"/>
    <row r="93" s="11" customFormat="1" ht="14.25" customHeight="1"/>
    <row r="94" s="11" customFormat="1" ht="14.25" customHeight="1"/>
    <row r="95" s="11" customFormat="1" ht="14.25" customHeight="1"/>
    <row r="96" s="11" customFormat="1" ht="14.25" customHeight="1"/>
    <row r="97" s="11" customFormat="1" ht="14.25" customHeight="1"/>
    <row r="98" s="11" customFormat="1" ht="14.25" customHeight="1"/>
    <row r="99" s="11" customFormat="1" ht="14.25" customHeight="1"/>
    <row r="100" s="11" customFormat="1" ht="14.25" customHeight="1"/>
    <row r="101" s="11" customFormat="1" ht="14.25" customHeight="1"/>
    <row r="102" s="11" customFormat="1" ht="14.25" customHeight="1"/>
    <row r="103" s="11" customFormat="1" ht="14.25" customHeight="1"/>
    <row r="104" s="11" customFormat="1" ht="14.25" customHeight="1"/>
    <row r="105" s="11" customFormat="1" ht="14.25" customHeight="1"/>
    <row r="106" s="11" customFormat="1" ht="14.25" customHeight="1"/>
    <row r="107" s="11" customFormat="1" ht="14.25" customHeight="1"/>
    <row r="108" s="11" customFormat="1" ht="14.25" customHeight="1"/>
    <row r="109" s="11" customFormat="1" ht="14.25" customHeight="1"/>
    <row r="110" s="11" customFormat="1" ht="14.25" customHeight="1"/>
    <row r="111" s="11" customFormat="1" ht="14.25" customHeight="1"/>
    <row r="112" s="11" customFormat="1" ht="14.25" customHeight="1"/>
    <row r="113" s="11" customFormat="1" ht="14.25" customHeight="1"/>
    <row r="114" s="11" customFormat="1" ht="14.25" customHeight="1"/>
    <row r="115" s="11" customFormat="1" ht="14.25" customHeight="1"/>
    <row r="116" s="11" customFormat="1" ht="14.25" customHeight="1"/>
    <row r="117" s="11" customFormat="1" ht="14.25" customHeight="1"/>
    <row r="118" s="11" customFormat="1" ht="14.25" customHeight="1"/>
    <row r="119" s="11" customFormat="1" ht="14.25" customHeight="1"/>
    <row r="120" s="11" customFormat="1" ht="14.25" customHeight="1"/>
    <row r="121" s="11" customFormat="1" ht="14.25" customHeight="1"/>
    <row r="122" s="11" customFormat="1" ht="14.25" customHeight="1"/>
    <row r="123" s="11" customFormat="1" ht="14.25" customHeight="1"/>
    <row r="124" s="11" customFormat="1" ht="14.25" customHeight="1"/>
    <row r="125" s="11" customFormat="1" ht="14.25" customHeight="1"/>
    <row r="126" s="11" customFormat="1" ht="14.25" customHeight="1"/>
    <row r="127" s="11" customFormat="1" ht="14.25" customHeight="1"/>
    <row r="128" s="11" customFormat="1" ht="14.25" customHeight="1"/>
    <row r="129" s="11" customFormat="1" ht="14.25" customHeight="1"/>
    <row r="130" s="11" customFormat="1" ht="14.25" customHeight="1"/>
    <row r="131" s="11" customFormat="1" ht="14.25" customHeight="1"/>
    <row r="132" s="11" customFormat="1" ht="14.25" customHeight="1"/>
    <row r="133" s="11" customFormat="1" ht="14.25" customHeight="1"/>
    <row r="134" s="11" customFormat="1" ht="14.25" customHeight="1"/>
    <row r="135" s="11" customFormat="1" ht="14.25" customHeight="1"/>
    <row r="136" s="11" customFormat="1" ht="14.25" customHeight="1"/>
    <row r="137" s="11" customFormat="1" ht="14.25" customHeight="1"/>
    <row r="138" s="11" customFormat="1" ht="14.25" customHeight="1"/>
    <row r="139" s="11" customFormat="1" ht="14.25" customHeight="1"/>
    <row r="140" s="11" customFormat="1" ht="14.25" customHeight="1"/>
    <row r="141" s="11" customFormat="1" ht="14.25" customHeight="1"/>
    <row r="142" s="11" customFormat="1" ht="14.25" customHeight="1"/>
    <row r="143" s="11" customFormat="1" ht="14.25" customHeight="1"/>
    <row r="144" s="11" customFormat="1" ht="14.25" customHeight="1"/>
    <row r="145" s="11" customFormat="1" ht="14.25" customHeight="1"/>
    <row r="146" s="11" customFormat="1" ht="14.25" customHeight="1"/>
    <row r="147" s="11" customFormat="1" ht="14.25" customHeight="1"/>
    <row r="148" s="11" customFormat="1" ht="14.25" customHeight="1"/>
    <row r="149" s="11" customFormat="1" ht="14.25" customHeight="1"/>
    <row r="150" s="11" customFormat="1" ht="14.25" customHeight="1"/>
    <row r="151" s="11" customFormat="1" ht="14.25" customHeight="1"/>
    <row r="152" s="11" customFormat="1" ht="14.25" customHeight="1"/>
    <row r="153" s="11" customFormat="1" ht="14.25" customHeight="1"/>
    <row r="154" s="11" customFormat="1" ht="14.25" customHeight="1"/>
    <row r="155" s="11" customFormat="1" ht="14.25" customHeight="1"/>
    <row r="156" s="11" customFormat="1" ht="14.25" customHeight="1"/>
    <row r="157" s="11" customFormat="1" ht="14.25" customHeight="1"/>
    <row r="158" s="11" customFormat="1" ht="14.25" customHeight="1"/>
    <row r="159" s="11" customFormat="1" ht="14.25" customHeight="1"/>
    <row r="160" s="11" customFormat="1" ht="14.25" customHeight="1"/>
    <row r="161" s="11" customFormat="1" ht="14.25" customHeight="1"/>
    <row r="162" s="11" customFormat="1" ht="14.25" customHeight="1"/>
    <row r="163" s="11" customFormat="1" ht="14.25" customHeight="1"/>
    <row r="164" s="11" customFormat="1" ht="14.25" customHeight="1"/>
    <row r="165" s="11" customFormat="1" ht="14.25" customHeight="1"/>
    <row r="166" s="11" customFormat="1" ht="14.25" customHeight="1"/>
    <row r="167" s="11" customFormat="1" ht="14.25" customHeight="1"/>
    <row r="168" s="11" customFormat="1" ht="14.25" customHeight="1"/>
    <row r="169" s="11" customFormat="1" ht="14.25" customHeight="1"/>
    <row r="170" s="11" customFormat="1" ht="14.25" customHeight="1"/>
    <row r="171" s="11" customFormat="1" ht="14.25" customHeight="1"/>
    <row r="172" s="11" customFormat="1" ht="14.25" customHeight="1"/>
    <row r="173" s="11" customFormat="1" ht="14.25" customHeight="1"/>
    <row r="174" s="11" customFormat="1" ht="14.25" customHeight="1"/>
    <row r="175" s="11" customFormat="1" ht="14.25" customHeight="1"/>
    <row r="176" s="11" customFormat="1" ht="14.25" customHeight="1"/>
    <row r="177" s="11" customFormat="1" ht="14.25" customHeight="1"/>
    <row r="178" s="11" customFormat="1" ht="14.25" customHeight="1"/>
    <row r="179" s="11" customFormat="1" ht="14.25" customHeight="1"/>
    <row r="180" s="11" customFormat="1" ht="14.25" customHeight="1"/>
    <row r="181" s="11" customFormat="1" ht="14.25" customHeight="1"/>
    <row r="182" s="11" customFormat="1" ht="14.25" customHeight="1"/>
    <row r="183" s="11" customFormat="1" ht="14.25" customHeight="1"/>
    <row r="184" s="11" customFormat="1" ht="14.25" customHeight="1"/>
    <row r="185" s="11" customFormat="1" ht="14.25" customHeight="1"/>
    <row r="186" s="11" customFormat="1" ht="14.25" customHeight="1"/>
    <row r="187" s="11" customFormat="1" ht="14.25" customHeight="1"/>
    <row r="188" s="11" customFormat="1" ht="14.25" customHeight="1"/>
    <row r="189" s="11" customFormat="1" ht="14.25" customHeight="1"/>
    <row r="190" s="11" customFormat="1" ht="14.25" customHeight="1"/>
    <row r="191" s="11" customFormat="1" ht="14.25" customHeight="1"/>
    <row r="192" s="11" customFormat="1" ht="14.25" customHeight="1"/>
    <row r="193" s="11" customFormat="1" ht="14.25" customHeight="1"/>
    <row r="194" s="11" customFormat="1" ht="14.25" customHeight="1"/>
    <row r="195" s="11" customFormat="1" ht="14.25" customHeight="1"/>
    <row r="196" s="11" customFormat="1" ht="14.25" customHeight="1"/>
    <row r="197" s="11" customFormat="1" ht="14.25" customHeight="1"/>
    <row r="198" s="11" customFormat="1" ht="14.25" customHeight="1"/>
    <row r="199" s="11" customFormat="1" ht="14.25" customHeight="1"/>
    <row r="200" s="11" customFormat="1" ht="14.25" customHeight="1"/>
    <row r="201" s="11" customFormat="1" ht="14.25" customHeight="1"/>
    <row r="202" s="11" customFormat="1" ht="14.25" customHeight="1"/>
    <row r="203" s="11" customFormat="1" ht="14.25" customHeight="1"/>
    <row r="204" s="11" customFormat="1" ht="14.25" customHeight="1"/>
    <row r="205" s="11" customFormat="1" ht="14.25" customHeight="1"/>
    <row r="206" s="11" customFormat="1" ht="14.25" customHeight="1"/>
    <row r="207" s="11" customFormat="1" ht="14.25" customHeight="1"/>
    <row r="208" s="11" customFormat="1" ht="14.25" customHeight="1"/>
    <row r="209" s="11" customFormat="1" ht="14.25" customHeight="1"/>
    <row r="210" s="11" customFormat="1" ht="14.25" customHeight="1"/>
    <row r="211" s="11" customFormat="1" ht="14.25" customHeight="1"/>
    <row r="212" s="11" customFormat="1" ht="14.25" customHeight="1"/>
    <row r="213" s="11" customFormat="1" ht="14.25" customHeight="1"/>
    <row r="214" s="11" customFormat="1" ht="14.25" customHeight="1"/>
    <row r="215" s="11" customFormat="1" ht="14.25" customHeight="1"/>
    <row r="216" s="11" customFormat="1" ht="14.25" customHeight="1"/>
    <row r="217" s="11" customFormat="1" ht="14.25" customHeight="1"/>
    <row r="218" s="11" customFormat="1" ht="14.25" customHeight="1"/>
    <row r="219" s="11" customFormat="1" ht="14.25" customHeight="1"/>
    <row r="220" s="11" customFormat="1" ht="14.25" customHeight="1"/>
    <row r="221" s="11" customFormat="1" ht="14.25" customHeight="1"/>
    <row r="222" s="11" customFormat="1" ht="14.25" customHeight="1"/>
    <row r="223" s="11" customFormat="1" ht="14.25" customHeight="1"/>
    <row r="224" s="11" customFormat="1" ht="14.25" customHeight="1"/>
    <row r="225" s="11" customFormat="1" ht="14.25" customHeight="1"/>
    <row r="226" s="11" customFormat="1" ht="14.25" customHeight="1"/>
    <row r="227" s="11" customFormat="1" ht="14.25" customHeight="1"/>
    <row r="228" s="11" customFormat="1" ht="14.25" customHeight="1"/>
    <row r="229" s="11" customFormat="1" ht="14.25" customHeight="1"/>
    <row r="230" s="11" customFormat="1" ht="14.25" customHeight="1"/>
    <row r="231" s="11" customFormat="1" ht="14.25" customHeight="1"/>
    <row r="232" s="11" customFormat="1" ht="14.25" customHeight="1"/>
    <row r="233" s="11" customFormat="1" ht="14.25" customHeight="1"/>
    <row r="234" s="11" customFormat="1" ht="14.25" customHeight="1"/>
    <row r="235" s="11" customFormat="1" ht="14.25" customHeight="1"/>
    <row r="236" s="11" customFormat="1" ht="14.25" customHeight="1"/>
    <row r="237" s="11" customFormat="1" ht="14.25" customHeight="1"/>
    <row r="238" s="11" customFormat="1" ht="14.25" customHeight="1"/>
    <row r="239" s="11" customFormat="1" ht="14.25" customHeight="1"/>
    <row r="240" s="11" customFormat="1" ht="14.25" customHeight="1"/>
    <row r="241" s="11" customFormat="1" ht="14.25" customHeight="1"/>
    <row r="242" s="11" customFormat="1" ht="14.25" customHeight="1"/>
    <row r="243" s="11" customFormat="1" ht="14.25" customHeight="1"/>
    <row r="244" s="11" customFormat="1" ht="14.25" customHeight="1"/>
    <row r="245" s="11" customFormat="1" ht="14.25" customHeight="1"/>
    <row r="246" s="11" customFormat="1" ht="14.25" customHeight="1"/>
    <row r="247" s="11" customFormat="1" ht="14.25" customHeight="1"/>
    <row r="248" s="11" customFormat="1" ht="14.25" customHeight="1"/>
    <row r="249" s="11" customFormat="1" ht="14.25" customHeight="1"/>
    <row r="250" s="11" customFormat="1" ht="14.25" customHeight="1"/>
    <row r="251" s="11" customFormat="1" ht="14.25" customHeight="1"/>
    <row r="252" s="11" customFormat="1" ht="14.25" customHeight="1"/>
    <row r="253" s="11" customFormat="1" ht="14.25" customHeight="1"/>
    <row r="254" s="11" customFormat="1" ht="14.25" customHeight="1"/>
    <row r="255" s="11" customFormat="1" ht="14.25" customHeight="1"/>
    <row r="256" s="11" customFormat="1" ht="14.25" customHeight="1"/>
    <row r="257" s="11" customFormat="1" ht="14.25" customHeight="1"/>
    <row r="258" s="11" customFormat="1" ht="14.25" customHeight="1"/>
    <row r="259" s="11" customFormat="1" ht="14.25" customHeight="1"/>
    <row r="260" s="11" customFormat="1" ht="14.25" customHeight="1"/>
    <row r="261" s="11" customFormat="1" ht="14.25" customHeight="1"/>
    <row r="262" s="11" customFormat="1" ht="14.25" customHeight="1"/>
    <row r="263" s="11" customFormat="1" ht="14.25" customHeight="1"/>
    <row r="264" s="11" customFormat="1" ht="14.25" customHeight="1"/>
    <row r="265" s="11" customFormat="1" ht="14.25" customHeight="1"/>
    <row r="266" s="11" customFormat="1" ht="14.25" customHeight="1"/>
    <row r="267" s="11" customFormat="1" ht="14.25" customHeight="1"/>
    <row r="268" s="11" customFormat="1" ht="14.25" customHeight="1"/>
    <row r="269" s="11" customFormat="1" ht="14.25" customHeight="1"/>
    <row r="270" s="11" customFormat="1" ht="14.25" customHeight="1"/>
    <row r="271" s="11" customFormat="1" ht="14.25" customHeight="1"/>
    <row r="272" s="11" customFormat="1" ht="14.25" customHeight="1"/>
    <row r="273" s="11" customFormat="1" ht="14.25" customHeight="1"/>
    <row r="274" s="11" customFormat="1" ht="14.25" customHeight="1"/>
    <row r="275" s="11" customFormat="1" ht="14.25" customHeight="1"/>
    <row r="276" s="11" customFormat="1" ht="14.25" customHeight="1"/>
    <row r="277" s="11" customFormat="1" ht="14.25" customHeight="1"/>
    <row r="278" s="11" customFormat="1" ht="14.25" customHeight="1"/>
    <row r="279" s="11" customFormat="1" ht="14.25" customHeight="1"/>
    <row r="280" s="11" customFormat="1" ht="14.25" customHeight="1"/>
    <row r="281" s="11" customFormat="1" ht="14.25" customHeight="1"/>
    <row r="282" s="11" customFormat="1" ht="14.25" customHeight="1"/>
    <row r="283" s="11" customFormat="1" ht="14.25" customHeight="1"/>
    <row r="284" s="11" customFormat="1" ht="14.25" customHeight="1"/>
    <row r="285" s="11" customFormat="1" ht="14.25" customHeight="1"/>
    <row r="286" s="11" customFormat="1" ht="14.25" customHeight="1"/>
    <row r="287" s="11" customFormat="1" ht="14.25" customHeight="1"/>
    <row r="288" s="11" customFormat="1" ht="14.25" customHeight="1"/>
    <row r="289" s="11" customFormat="1" ht="14.25" customHeight="1"/>
    <row r="290" s="11" customFormat="1" ht="14.25" customHeight="1"/>
    <row r="291" s="11" customFormat="1" ht="14.25" customHeight="1"/>
    <row r="292" s="11" customFormat="1" ht="14.25" customHeight="1"/>
    <row r="293" s="11" customFormat="1" ht="14.25" customHeight="1"/>
    <row r="294" s="11" customFormat="1" ht="14.25" customHeight="1"/>
    <row r="295" s="11" customFormat="1" ht="14.25" customHeight="1"/>
    <row r="296" s="11" customFormat="1" ht="14.25" customHeight="1"/>
    <row r="297" s="11" customFormat="1" ht="14.25" customHeight="1"/>
    <row r="298" s="11" customFormat="1" ht="14.25" customHeight="1"/>
    <row r="299" s="11" customFormat="1" ht="14.25" customHeight="1"/>
    <row r="300" s="11" customFormat="1" ht="14.25" customHeight="1"/>
    <row r="301" s="11" customFormat="1" ht="14.25" customHeight="1"/>
    <row r="302" s="11" customFormat="1" ht="14.25" customHeight="1"/>
    <row r="303" s="11" customFormat="1" ht="14.25" customHeight="1"/>
    <row r="304" s="11" customFormat="1" ht="14.25" customHeight="1"/>
    <row r="305" s="11" customFormat="1" ht="14.25" customHeight="1"/>
    <row r="306" s="11" customFormat="1" ht="14.25" customHeight="1"/>
    <row r="307" s="11" customFormat="1" ht="14.25" customHeight="1"/>
    <row r="308" s="11" customFormat="1" ht="14.25" customHeight="1"/>
    <row r="309" s="11" customFormat="1" ht="14.25" customHeight="1"/>
    <row r="310" s="11" customFormat="1" ht="14.25" customHeight="1"/>
    <row r="311" s="11" customFormat="1" ht="14.25" customHeight="1"/>
    <row r="312" s="11" customFormat="1" ht="14.25" customHeight="1"/>
    <row r="313" s="11" customFormat="1" ht="14.25" customHeight="1"/>
    <row r="314" s="11" customFormat="1" ht="14.25" customHeight="1"/>
    <row r="315" s="11" customFormat="1" ht="14.25" customHeight="1"/>
    <row r="316" s="11" customFormat="1" ht="14.25" customHeight="1"/>
    <row r="317" s="11" customFormat="1" ht="14.25" customHeight="1"/>
    <row r="318" s="11" customFormat="1" ht="14.25" customHeight="1"/>
    <row r="319" s="11" customFormat="1" ht="14.25" customHeight="1"/>
    <row r="320" s="11" customFormat="1" ht="14.25" customHeight="1"/>
    <row r="321" s="11" customFormat="1" ht="14.25" customHeight="1"/>
    <row r="322" s="11" customFormat="1" ht="14.25" customHeight="1"/>
    <row r="323" s="11" customFormat="1" ht="14.25" customHeight="1"/>
    <row r="324" s="11" customFormat="1" ht="14.25" customHeight="1"/>
    <row r="325" s="11" customFormat="1" ht="14.25" customHeight="1"/>
    <row r="326" s="11" customFormat="1" ht="14.25" customHeight="1"/>
    <row r="327" s="11" customFormat="1" ht="14.25" customHeight="1"/>
    <row r="328" s="11" customFormat="1" ht="14.25" customHeight="1"/>
    <row r="329" s="11" customFormat="1" ht="14.25" customHeight="1"/>
    <row r="330" s="11" customFormat="1" ht="14.25" customHeight="1"/>
    <row r="331" s="11" customFormat="1" ht="14.25" customHeight="1"/>
    <row r="332" s="11" customFormat="1" ht="14.25" customHeight="1"/>
    <row r="333" s="11" customFormat="1" ht="14.25" customHeight="1"/>
    <row r="334" s="11" customFormat="1" ht="14.25" customHeight="1"/>
    <row r="335" s="11" customFormat="1" ht="14.25" customHeight="1"/>
    <row r="336" s="11" customFormat="1" ht="14.25" customHeight="1"/>
    <row r="337" s="11" customFormat="1" ht="14.25" customHeight="1"/>
    <row r="338" s="11" customFormat="1" ht="14.25" customHeight="1"/>
    <row r="339" s="11" customFormat="1" ht="14.25" customHeight="1"/>
    <row r="340" s="11" customFormat="1" ht="14.25" customHeight="1"/>
    <row r="341" s="11" customFormat="1" ht="14.25" customHeight="1"/>
    <row r="342" s="11" customFormat="1" ht="14.25" customHeight="1"/>
    <row r="343" s="11" customFormat="1" ht="14.25" customHeight="1"/>
    <row r="344" s="11" customFormat="1" ht="14.25" customHeight="1"/>
    <row r="345" s="11" customFormat="1" ht="14.25" customHeight="1"/>
    <row r="346" s="11" customFormat="1" ht="14.25" customHeight="1"/>
    <row r="347" s="11" customFormat="1" ht="14.25" customHeight="1"/>
    <row r="348" s="11" customFormat="1" ht="14.25" customHeight="1"/>
    <row r="349" s="11" customFormat="1" ht="14.25" customHeight="1"/>
    <row r="350" s="11" customFormat="1" ht="14.25" customHeight="1"/>
    <row r="351" s="11" customFormat="1" ht="14.25" customHeight="1"/>
    <row r="352" s="11" customFormat="1" ht="14.25" customHeight="1"/>
    <row r="353" s="11" customFormat="1" ht="14.25" customHeight="1"/>
    <row r="354" s="11" customFormat="1" ht="14.25" customHeight="1"/>
    <row r="355" s="11" customFormat="1" ht="14.25" customHeight="1"/>
    <row r="356" s="11" customFormat="1" ht="14.25" customHeight="1"/>
    <row r="357" s="11" customFormat="1" ht="14.25" customHeight="1"/>
    <row r="358" s="11" customFormat="1" ht="14.25" customHeight="1"/>
    <row r="359" s="11" customFormat="1" ht="14.25" customHeight="1"/>
    <row r="360" s="11" customFormat="1" ht="14.25" customHeight="1"/>
    <row r="361" s="11" customFormat="1" ht="14.25" customHeight="1"/>
    <row r="362" s="11" customFormat="1" ht="14.25" customHeight="1"/>
    <row r="363" s="11" customFormat="1" ht="14.25" customHeight="1"/>
    <row r="364" s="11" customFormat="1" ht="14.25" customHeight="1"/>
    <row r="365" s="11" customFormat="1" ht="14.25" customHeight="1"/>
    <row r="366" s="11" customFormat="1" ht="14.25" customHeight="1"/>
    <row r="367" s="11" customFormat="1" ht="14.25" customHeight="1"/>
    <row r="368" s="11" customFormat="1" ht="14.25" customHeight="1"/>
    <row r="369" s="11" customFormat="1" ht="14.25" customHeight="1"/>
    <row r="370" s="11" customFormat="1" ht="14.25" customHeight="1"/>
    <row r="371" s="11" customFormat="1" ht="14.25" customHeight="1"/>
    <row r="372" s="11" customFormat="1" ht="14.25" customHeight="1"/>
    <row r="373" s="11" customFormat="1" ht="14.25" customHeight="1"/>
    <row r="374" s="11" customFormat="1" ht="14.25" customHeight="1"/>
    <row r="375" s="11" customFormat="1" ht="14.25" customHeight="1"/>
    <row r="376" s="11" customFormat="1" ht="14.25" customHeight="1"/>
    <row r="377" s="11" customFormat="1" ht="14.25" customHeight="1"/>
    <row r="378" s="11" customFormat="1" ht="14.25" customHeight="1"/>
    <row r="379" s="11" customFormat="1" ht="14.25" customHeight="1"/>
    <row r="380" s="11" customFormat="1" ht="14.25" customHeight="1"/>
    <row r="381" s="11" customFormat="1" ht="14.25" customHeight="1"/>
    <row r="382" s="11" customFormat="1" ht="14.25" customHeight="1"/>
    <row r="383" s="11" customFormat="1" ht="14.25" customHeight="1"/>
    <row r="384" s="11" customFormat="1" ht="14.25" customHeight="1"/>
    <row r="385" s="11" customFormat="1" ht="14.25" customHeight="1"/>
    <row r="386" s="11" customFormat="1" ht="14.25" customHeight="1"/>
    <row r="387" s="11" customFormat="1" ht="14.25" customHeight="1"/>
    <row r="388" s="11" customFormat="1" ht="14.25" customHeight="1"/>
    <row r="389" s="11" customFormat="1" ht="14.25" customHeight="1"/>
    <row r="390" s="11" customFormat="1" ht="14.25" customHeight="1"/>
    <row r="391" s="11" customFormat="1" ht="14.25" customHeight="1"/>
    <row r="392" s="11" customFormat="1" ht="14.25" customHeight="1"/>
    <row r="393" s="11" customFormat="1" ht="14.25" customHeight="1"/>
    <row r="394" s="11" customFormat="1" ht="14.25" customHeight="1"/>
    <row r="395" s="11" customFormat="1" ht="14.25" customHeight="1"/>
    <row r="396" s="11" customFormat="1" ht="14.25" customHeight="1"/>
    <row r="397" s="11" customFormat="1" ht="14.25" customHeight="1"/>
    <row r="398" s="11" customFormat="1" ht="14.25" customHeight="1"/>
    <row r="399" s="11" customFormat="1" ht="14.25" customHeight="1"/>
    <row r="400" s="11" customFormat="1" ht="14.25" customHeight="1"/>
    <row r="401" s="11" customFormat="1" ht="14.25" customHeight="1"/>
    <row r="402" s="11" customFormat="1" ht="14.25" customHeight="1"/>
    <row r="403" s="11" customFormat="1" ht="14.25" customHeight="1"/>
    <row r="404" s="11" customFormat="1" ht="14.25" customHeight="1"/>
    <row r="405" s="11" customFormat="1" ht="14.25" customHeight="1"/>
    <row r="406" s="11" customFormat="1" ht="14.25" customHeight="1"/>
    <row r="407" s="11" customFormat="1" ht="14.25" customHeight="1"/>
    <row r="408" s="11" customFormat="1" ht="14.25" customHeight="1"/>
    <row r="409" s="11" customFormat="1" ht="14.25" customHeight="1"/>
    <row r="410" s="11" customFormat="1" ht="14.25" customHeight="1"/>
    <row r="411" s="11" customFormat="1" ht="14.25" customHeight="1"/>
    <row r="412" s="11" customFormat="1" ht="14.25" customHeight="1"/>
    <row r="413" s="11" customFormat="1" ht="14.25" customHeight="1"/>
    <row r="414" s="11" customFormat="1" ht="14.25" customHeight="1"/>
    <row r="415" s="11" customFormat="1" ht="14.25" customHeight="1"/>
    <row r="416" s="11" customFormat="1" ht="14.25" customHeight="1"/>
    <row r="417" s="11" customFormat="1" ht="14.25" customHeight="1"/>
    <row r="418" s="11" customFormat="1" ht="14.25" customHeight="1"/>
    <row r="419" s="11" customFormat="1" ht="14.25" customHeight="1"/>
    <row r="420" s="11" customFormat="1" ht="14.25" customHeight="1"/>
    <row r="421" s="11" customFormat="1" ht="14.25" customHeight="1"/>
    <row r="422" s="11" customFormat="1" ht="14.25" customHeight="1"/>
    <row r="423" s="11" customFormat="1" ht="14.25" customHeight="1"/>
    <row r="424" s="11" customFormat="1" ht="14.25" customHeight="1"/>
    <row r="425" s="11" customFormat="1" ht="14.25" customHeight="1"/>
    <row r="426" s="11" customFormat="1" ht="14.25" customHeight="1"/>
    <row r="427" s="11" customFormat="1" ht="14.25" customHeight="1"/>
    <row r="428" s="11" customFormat="1" ht="14.25" customHeight="1"/>
    <row r="429" s="11" customFormat="1" ht="14.25" customHeight="1"/>
    <row r="430" s="11" customFormat="1" ht="14.25" customHeight="1"/>
    <row r="431" s="11" customFormat="1" ht="14.25" customHeight="1"/>
    <row r="432" s="11" customFormat="1" ht="14.25" customHeight="1"/>
    <row r="433" s="11" customFormat="1" ht="14.25" customHeight="1"/>
    <row r="434" s="11" customFormat="1" ht="14.25" customHeight="1"/>
    <row r="435" s="11" customFormat="1" ht="14.25" customHeight="1"/>
    <row r="436" s="11" customFormat="1" ht="14.25" customHeight="1"/>
    <row r="437" s="11" customFormat="1" ht="14.25" customHeight="1"/>
    <row r="438" s="11" customFormat="1" ht="14.25" customHeight="1"/>
    <row r="439" s="11" customFormat="1" ht="14.25" customHeight="1"/>
    <row r="440" s="11" customFormat="1" ht="14.25" customHeight="1"/>
    <row r="441" s="11" customFormat="1" ht="14.25" customHeight="1"/>
    <row r="442" s="11" customFormat="1" ht="14.25" customHeight="1"/>
    <row r="443" s="11" customFormat="1" ht="14.25" customHeight="1"/>
    <row r="444" s="11" customFormat="1" ht="14.25" customHeight="1"/>
    <row r="445" s="11" customFormat="1" ht="14.25" customHeight="1"/>
    <row r="446" s="11" customFormat="1" ht="14.25" customHeight="1"/>
    <row r="447" s="11" customFormat="1" ht="14.25" customHeight="1"/>
    <row r="448" s="11" customFormat="1" ht="14.25" customHeight="1"/>
    <row r="449" s="11" customFormat="1" ht="14.25" customHeight="1"/>
    <row r="450" s="11" customFormat="1" ht="14.25" customHeight="1"/>
    <row r="451" s="11" customFormat="1" ht="14.25" customHeight="1"/>
    <row r="452" s="11" customFormat="1" ht="14.25" customHeight="1"/>
    <row r="453" s="11" customFormat="1" ht="14.25" customHeight="1"/>
    <row r="454" s="11" customFormat="1" ht="14.25" customHeight="1"/>
    <row r="455" s="11" customFormat="1" ht="14.25" customHeight="1"/>
    <row r="456" s="11" customFormat="1" ht="14.25" customHeight="1"/>
    <row r="457" s="11" customFormat="1" ht="14.25" customHeight="1"/>
    <row r="458" s="11" customFormat="1" ht="14.25" customHeight="1"/>
    <row r="459" s="11" customFormat="1" ht="14.25" customHeight="1"/>
    <row r="460" s="11" customFormat="1" ht="14.25" customHeight="1"/>
    <row r="461" s="11" customFormat="1" ht="14.25" customHeight="1"/>
    <row r="462" s="11" customFormat="1" ht="14.25" customHeight="1"/>
    <row r="463" s="11" customFormat="1" ht="14.25" customHeight="1"/>
    <row r="464" s="11" customFormat="1" ht="14.25" customHeight="1"/>
    <row r="465" s="11" customFormat="1" ht="14.25" customHeight="1"/>
    <row r="466" s="11" customFormat="1" ht="14.25" customHeight="1"/>
    <row r="467" s="11" customFormat="1" ht="14.25" customHeight="1"/>
    <row r="468" s="11" customFormat="1" ht="14.25" customHeight="1"/>
    <row r="469" s="11" customFormat="1" ht="14.25" customHeight="1"/>
    <row r="470" s="11" customFormat="1" ht="14.25" customHeight="1"/>
    <row r="471" s="11" customFormat="1" ht="14.25" customHeight="1"/>
    <row r="472" s="11" customFormat="1" ht="14.25" customHeight="1"/>
    <row r="473" s="11" customFormat="1" ht="14.25" customHeight="1"/>
    <row r="474" s="11" customFormat="1" ht="14.25" customHeight="1"/>
    <row r="475" s="11" customFormat="1" ht="14.25" customHeight="1"/>
    <row r="476" s="11" customFormat="1" ht="14.25" customHeight="1"/>
    <row r="477" s="11" customFormat="1" ht="14.25" customHeight="1"/>
    <row r="478" s="11" customFormat="1" ht="14.25" customHeight="1"/>
    <row r="479" s="11" customFormat="1" ht="14.25" customHeight="1"/>
    <row r="480" s="11" customFormat="1" ht="14.25" customHeight="1"/>
    <row r="481" s="11" customFormat="1" ht="14.25" customHeight="1"/>
    <row r="482" s="11" customFormat="1" ht="14.25" customHeight="1"/>
    <row r="483" s="11" customFormat="1" ht="14.25" customHeight="1"/>
    <row r="484" s="11" customFormat="1" ht="14.25" customHeight="1"/>
    <row r="485" s="11" customFormat="1" ht="14.25" customHeight="1"/>
    <row r="486" s="11" customFormat="1" ht="14.25" customHeight="1"/>
    <row r="487" s="11" customFormat="1" ht="14.25" customHeight="1"/>
    <row r="488" s="11" customFormat="1" ht="14.25" customHeight="1"/>
    <row r="489" s="11" customFormat="1" ht="14.25" customHeight="1"/>
    <row r="490" s="11" customFormat="1" ht="14.25" customHeight="1"/>
    <row r="491" s="11" customFormat="1" ht="14.25" customHeight="1"/>
    <row r="492" s="11" customFormat="1" ht="14.25" customHeight="1"/>
    <row r="493" s="11" customFormat="1" ht="14.25" customHeight="1"/>
    <row r="494" s="11" customFormat="1" ht="14.25" customHeight="1"/>
    <row r="495" s="11" customFormat="1" ht="14.25" customHeight="1"/>
    <row r="496" s="11" customFormat="1" ht="14.25" customHeight="1"/>
    <row r="497" s="11" customFormat="1" ht="14.25" customHeight="1"/>
    <row r="498" s="11" customFormat="1" ht="14.25" customHeight="1"/>
    <row r="499" s="11" customFormat="1" ht="14.25" customHeight="1"/>
    <row r="500" s="11" customFormat="1" ht="14.25" customHeight="1"/>
    <row r="501" s="11" customFormat="1" ht="14.25" customHeight="1"/>
    <row r="502" s="11" customFormat="1" ht="14.25" customHeight="1"/>
    <row r="503" s="11" customFormat="1" ht="14.25" customHeight="1"/>
    <row r="504" s="11" customFormat="1" ht="14.25" customHeight="1"/>
    <row r="505" s="11" customFormat="1" ht="14.25" customHeight="1"/>
    <row r="506" s="11" customFormat="1" ht="14.25" customHeight="1"/>
    <row r="507" s="11" customFormat="1" ht="14.25" customHeight="1"/>
    <row r="508" s="11" customFormat="1" ht="14.25" customHeight="1"/>
    <row r="509" s="11" customFormat="1" ht="14.25" customHeight="1"/>
    <row r="510" s="11" customFormat="1" ht="14.25" customHeight="1"/>
    <row r="511" s="11" customFormat="1" ht="14.25" customHeight="1"/>
    <row r="512" s="11" customFormat="1" ht="14.25" customHeight="1"/>
    <row r="513" s="11" customFormat="1" ht="14.25" customHeight="1"/>
    <row r="514" s="11" customFormat="1" ht="14.25" customHeight="1"/>
    <row r="515" s="11" customFormat="1" ht="14.25" customHeight="1"/>
    <row r="516" s="11" customFormat="1" ht="14.25" customHeight="1"/>
    <row r="517" s="11" customFormat="1" ht="14.25" customHeight="1"/>
    <row r="518" s="11" customFormat="1" ht="14.25" customHeight="1"/>
    <row r="519" s="11" customFormat="1" ht="14.25" customHeight="1"/>
    <row r="520" s="11" customFormat="1" ht="14.25" customHeight="1"/>
    <row r="521" s="11" customFormat="1" ht="14.25" customHeight="1"/>
    <row r="522" s="11" customFormat="1" ht="14.25" customHeight="1"/>
    <row r="523" s="11" customFormat="1" ht="14.25" customHeight="1"/>
    <row r="524" s="11" customFormat="1" ht="14.25" customHeight="1"/>
    <row r="525" s="11" customFormat="1" ht="14.25" customHeight="1"/>
    <row r="526" s="11" customFormat="1" ht="14.25" customHeight="1"/>
    <row r="527" s="11" customFormat="1" ht="14.25" customHeight="1"/>
    <row r="528" s="11" customFormat="1" ht="14.25" customHeight="1"/>
    <row r="529" s="11" customFormat="1" ht="14.25" customHeight="1"/>
    <row r="530" s="11" customFormat="1" ht="14.25" customHeight="1"/>
    <row r="531" s="11" customFormat="1" ht="14.25" customHeight="1"/>
    <row r="532" s="11" customFormat="1" ht="14.25" customHeight="1"/>
    <row r="533" s="11" customFormat="1" ht="14.25" customHeight="1"/>
    <row r="534" s="11" customFormat="1" ht="14.25" customHeight="1"/>
    <row r="535" s="11" customFormat="1" ht="14.25" customHeight="1"/>
    <row r="536" s="11" customFormat="1" ht="14.25" customHeight="1"/>
    <row r="537" s="11" customFormat="1" ht="14.25" customHeight="1"/>
    <row r="538" s="11" customFormat="1" ht="14.25" customHeight="1"/>
    <row r="539" s="11" customFormat="1" ht="14.25" customHeight="1"/>
    <row r="540" s="11" customFormat="1" ht="14.25" customHeight="1"/>
    <row r="541" s="11" customFormat="1" ht="14.25" customHeight="1"/>
    <row r="542" s="11" customFormat="1" ht="14.25" customHeight="1"/>
    <row r="543" s="11" customFormat="1" ht="14.25" customHeight="1"/>
    <row r="544" s="11" customFormat="1" ht="14.25" customHeight="1"/>
    <row r="545" s="11" customFormat="1" ht="14.25" customHeight="1"/>
    <row r="546" s="11" customFormat="1" ht="14.25" customHeight="1"/>
    <row r="547" s="11" customFormat="1" ht="14.25" customHeight="1"/>
    <row r="548" s="11" customFormat="1" ht="14.25" customHeight="1"/>
    <row r="549" s="11" customFormat="1" ht="14.25" customHeight="1"/>
    <row r="550" s="11" customFormat="1" ht="14.25" customHeight="1"/>
    <row r="551" s="11" customFormat="1" ht="14.25" customHeight="1"/>
    <row r="552" s="11" customFormat="1" ht="14.25" customHeight="1"/>
    <row r="553" s="11" customFormat="1" ht="14.25" customHeight="1"/>
    <row r="554" s="11" customFormat="1" ht="14.25" customHeight="1"/>
    <row r="555" s="11" customFormat="1" ht="14.25" customHeight="1"/>
    <row r="556" s="11" customFormat="1" ht="14.25" customHeight="1"/>
    <row r="557" s="11" customFormat="1" ht="14.25" customHeight="1"/>
    <row r="558" s="11" customFormat="1" ht="14.25" customHeight="1"/>
    <row r="559" s="11" customFormat="1" ht="14.25" customHeight="1"/>
    <row r="560" s="11" customFormat="1" ht="14.25" customHeight="1"/>
    <row r="561" s="11" customFormat="1" ht="14.25" customHeight="1"/>
    <row r="562" s="11" customFormat="1" ht="14.25" customHeight="1"/>
    <row r="563" s="11" customFormat="1" ht="14.25" customHeight="1"/>
    <row r="564" s="11" customFormat="1" ht="14.25" customHeight="1"/>
    <row r="565" s="11" customFormat="1" ht="14.25" customHeight="1"/>
    <row r="566" s="11" customFormat="1" ht="14.25" customHeight="1"/>
    <row r="567" s="11" customFormat="1" ht="14.25" customHeight="1"/>
    <row r="568" s="11" customFormat="1" ht="14.25" customHeight="1"/>
    <row r="569" s="11" customFormat="1" ht="14.25" customHeight="1"/>
    <row r="570" s="11" customFormat="1" ht="14.25" customHeight="1"/>
    <row r="571" s="11" customFormat="1" ht="14.25" customHeight="1"/>
    <row r="572" s="11" customFormat="1" ht="14.25" customHeight="1"/>
    <row r="573" s="11" customFormat="1" ht="14.25" customHeight="1"/>
    <row r="574" s="11" customFormat="1" ht="14.25" customHeight="1"/>
    <row r="575" s="11" customFormat="1" ht="14.25" customHeight="1"/>
    <row r="576" s="11" customFormat="1" ht="14.25" customHeight="1"/>
    <row r="577" s="11" customFormat="1" ht="14.25" customHeight="1"/>
    <row r="578" s="11" customFormat="1" ht="14.25" customHeight="1"/>
    <row r="579" s="11" customFormat="1" ht="14.25" customHeight="1"/>
    <row r="580" s="11" customFormat="1" ht="14.25" customHeight="1"/>
    <row r="581" s="11" customFormat="1" ht="14.25" customHeight="1"/>
    <row r="582" s="11" customFormat="1" ht="14.25" customHeight="1"/>
    <row r="583" s="11" customFormat="1" ht="14.25" customHeight="1"/>
    <row r="584" s="11" customFormat="1" ht="14.25" customHeight="1"/>
    <row r="585" s="11" customFormat="1" ht="14.25" customHeight="1"/>
    <row r="586" s="11" customFormat="1" ht="14.25" customHeight="1"/>
    <row r="587" s="11" customFormat="1" ht="14.25" customHeight="1"/>
    <row r="588" s="11" customFormat="1" ht="14.25" customHeight="1"/>
    <row r="589" s="11" customFormat="1" ht="14.25" customHeight="1"/>
    <row r="590" s="11" customFormat="1" ht="14.25" customHeight="1"/>
    <row r="591" s="11" customFormat="1" ht="14.25" customHeight="1"/>
    <row r="592" s="11" customFormat="1" ht="14.25" customHeight="1"/>
    <row r="593" s="11" customFormat="1" ht="14.25" customHeight="1"/>
    <row r="594" s="11" customFormat="1" ht="14.25" customHeight="1"/>
    <row r="595" s="11" customFormat="1" ht="14.25" customHeight="1"/>
    <row r="596" s="11" customFormat="1" ht="14.25" customHeight="1"/>
    <row r="597" s="11" customFormat="1" ht="14.25" customHeight="1"/>
    <row r="598" s="11" customFormat="1" ht="14.25" customHeight="1"/>
    <row r="599" s="11" customFormat="1" ht="14.25" customHeight="1"/>
    <row r="600" s="11" customFormat="1" ht="14.25" customHeight="1"/>
    <row r="601" s="11" customFormat="1" ht="14.25" customHeight="1"/>
    <row r="602" s="11" customFormat="1" ht="14.25" customHeight="1"/>
    <row r="603" s="11" customFormat="1" ht="14.25" customHeight="1"/>
    <row r="604" s="11" customFormat="1" ht="14.25" customHeight="1"/>
    <row r="605" s="11" customFormat="1" ht="14.25" customHeight="1"/>
    <row r="606" s="11" customFormat="1" ht="14.25" customHeight="1"/>
    <row r="607" s="11" customFormat="1" ht="14.25" customHeight="1"/>
    <row r="608" s="11" customFormat="1" ht="14.25" customHeight="1"/>
    <row r="609" s="11" customFormat="1" ht="14.25" customHeight="1"/>
    <row r="610" s="11" customFormat="1" ht="14.25" customHeight="1"/>
    <row r="611" s="11" customFormat="1" ht="14.25" customHeight="1"/>
    <row r="612" s="11" customFormat="1" ht="14.25" customHeight="1"/>
    <row r="613" s="11" customFormat="1" ht="14.25" customHeight="1"/>
    <row r="614" s="11" customFormat="1" ht="14.25" customHeight="1"/>
    <row r="615" s="11" customFormat="1" ht="14.25" customHeight="1"/>
    <row r="616" s="11" customFormat="1" ht="14.25" customHeight="1"/>
    <row r="617" s="11" customFormat="1" ht="14.25" customHeight="1"/>
    <row r="618" s="11" customFormat="1" ht="14.25" customHeight="1"/>
    <row r="619" s="11" customFormat="1" ht="14.25" customHeight="1"/>
    <row r="620" s="11" customFormat="1" ht="14.25" customHeight="1"/>
    <row r="621" s="11" customFormat="1" ht="14.25" customHeight="1"/>
    <row r="622" s="11" customFormat="1" ht="14.25" customHeight="1"/>
    <row r="623" s="11" customFormat="1" ht="14.25" customHeight="1"/>
    <row r="624" s="11" customFormat="1" ht="14.25" customHeight="1"/>
    <row r="625" s="11" customFormat="1" ht="14.25" customHeight="1"/>
    <row r="626" s="11" customFormat="1" ht="14.25" customHeight="1"/>
    <row r="627" s="11" customFormat="1" ht="14.25" customHeight="1"/>
    <row r="628" s="11" customFormat="1" ht="14.25" customHeight="1"/>
    <row r="629" s="11" customFormat="1" ht="14.25" customHeight="1"/>
    <row r="630" s="11" customFormat="1" ht="14.25" customHeight="1"/>
    <row r="631" s="11" customFormat="1" ht="14.25" customHeight="1"/>
    <row r="632" s="11" customFormat="1" ht="14.25" customHeight="1"/>
    <row r="633" s="11" customFormat="1" ht="14.25" customHeight="1"/>
    <row r="634" s="11" customFormat="1" ht="14.25" customHeight="1"/>
    <row r="635" s="11" customFormat="1" ht="14.25" customHeight="1"/>
    <row r="636" s="11" customFormat="1" ht="14.25" customHeight="1"/>
    <row r="637" s="11" customFormat="1" ht="14.25" customHeight="1"/>
    <row r="638" s="11" customFormat="1" ht="14.25" customHeight="1"/>
    <row r="639" s="11" customFormat="1" ht="14.25" customHeight="1"/>
    <row r="640" s="11" customFormat="1" ht="14.25" customHeight="1"/>
    <row r="641" s="11" customFormat="1" ht="14.25" customHeight="1"/>
    <row r="642" s="11" customFormat="1" ht="14.25" customHeight="1"/>
    <row r="643" s="11" customFormat="1" ht="14.25" customHeight="1"/>
    <row r="644" s="11" customFormat="1" ht="14.25" customHeight="1"/>
    <row r="645" s="11" customFormat="1" ht="14.25" customHeight="1"/>
    <row r="646" s="11" customFormat="1" ht="14.25" customHeight="1"/>
    <row r="647" s="11" customFormat="1" ht="14.25" customHeight="1"/>
    <row r="648" s="11" customFormat="1" ht="14.25" customHeight="1"/>
    <row r="649" s="11" customFormat="1" ht="14.25" customHeight="1"/>
    <row r="650" s="11" customFormat="1" ht="14.25" customHeight="1"/>
    <row r="651" s="11" customFormat="1" ht="14.25" customHeight="1"/>
    <row r="652" s="11" customFormat="1" ht="14.25" customHeight="1"/>
    <row r="653" s="11" customFormat="1" ht="14.25" customHeight="1"/>
    <row r="654" s="11" customFormat="1" ht="14.25" customHeight="1"/>
    <row r="655" s="11" customFormat="1" ht="14.25" customHeight="1"/>
    <row r="656" s="11" customFormat="1" ht="14.25" customHeight="1"/>
    <row r="657" s="11" customFormat="1" ht="14.25" customHeight="1"/>
    <row r="658" s="11" customFormat="1" ht="14.25" customHeight="1"/>
    <row r="659" s="11" customFormat="1" ht="14.25" customHeight="1"/>
    <row r="660" s="11" customFormat="1" ht="14.25" customHeight="1"/>
    <row r="661" s="11" customFormat="1" ht="14.25" customHeight="1"/>
    <row r="662" s="11" customFormat="1" ht="14.25" customHeight="1"/>
    <row r="663" s="11" customFormat="1" ht="14.25" customHeight="1"/>
    <row r="664" s="11" customFormat="1" ht="14.25" customHeight="1"/>
    <row r="665" s="11" customFormat="1" ht="14.25" customHeight="1"/>
    <row r="666" s="11" customFormat="1" ht="14.25" customHeight="1"/>
    <row r="667" s="11" customFormat="1" ht="14.25" customHeight="1"/>
    <row r="668" s="11" customFormat="1" ht="14.25" customHeight="1"/>
    <row r="669" s="11" customFormat="1" ht="14.25" customHeight="1"/>
    <row r="670" s="11" customFormat="1" ht="14.25" customHeight="1"/>
    <row r="671" s="11" customFormat="1" ht="14.25" customHeight="1"/>
    <row r="672" s="11" customFormat="1" ht="14.25" customHeight="1"/>
    <row r="673" s="11" customFormat="1" ht="14.25" customHeight="1"/>
    <row r="674" s="11" customFormat="1" ht="14.25" customHeight="1"/>
    <row r="675" s="11" customFormat="1" ht="14.25" customHeight="1"/>
    <row r="676" s="11" customFormat="1" ht="14.25" customHeight="1"/>
    <row r="677" s="11" customFormat="1" ht="14.25" customHeight="1"/>
    <row r="678" s="11" customFormat="1" ht="14.25" customHeight="1"/>
    <row r="679" s="11" customFormat="1" ht="14.25" customHeight="1"/>
    <row r="680" s="11" customFormat="1" ht="14.25" customHeight="1"/>
    <row r="681" s="11" customFormat="1" ht="14.25" customHeight="1"/>
    <row r="682" s="11" customFormat="1" ht="14.25" customHeight="1"/>
    <row r="683" s="11" customFormat="1" ht="14.25" customHeight="1"/>
    <row r="684" s="11" customFormat="1" ht="14.25" customHeight="1"/>
    <row r="685" s="11" customFormat="1" ht="14.25" customHeight="1"/>
    <row r="686" s="11" customFormat="1" ht="14.25" customHeight="1"/>
    <row r="687" s="11" customFormat="1" ht="14.25" customHeight="1"/>
    <row r="688" s="11" customFormat="1" ht="14.25" customHeight="1"/>
    <row r="689" s="11" customFormat="1" ht="14.25" customHeight="1"/>
    <row r="690" s="11" customFormat="1" ht="14.25" customHeight="1"/>
    <row r="691" s="11" customFormat="1" ht="14.25" customHeight="1"/>
    <row r="692" s="11" customFormat="1" ht="14.25" customHeight="1"/>
    <row r="693" s="11" customFormat="1" ht="14.25" customHeight="1"/>
    <row r="694" s="11" customFormat="1" ht="14.25" customHeight="1"/>
    <row r="695" s="11" customFormat="1" ht="14.25" customHeight="1"/>
    <row r="696" s="11" customFormat="1" ht="14.25" customHeight="1"/>
    <row r="697" s="11" customFormat="1" ht="14.25" customHeight="1"/>
    <row r="698" s="11" customFormat="1" ht="14.25" customHeight="1"/>
    <row r="699" s="11" customFormat="1" ht="14.25" customHeight="1"/>
    <row r="700" s="11" customFormat="1" ht="14.25" customHeight="1"/>
    <row r="701" s="11" customFormat="1" ht="14.25" customHeight="1"/>
    <row r="702" s="11" customFormat="1" ht="14.25" customHeight="1"/>
    <row r="703" s="11" customFormat="1" ht="14.25" customHeight="1"/>
    <row r="704" s="11" customFormat="1" ht="14.25" customHeight="1"/>
    <row r="705" s="11" customFormat="1" ht="14.25" customHeight="1"/>
    <row r="706" s="11" customFormat="1" ht="14.25" customHeight="1"/>
    <row r="707" s="11" customFormat="1" ht="14.25" customHeight="1"/>
    <row r="708" s="11" customFormat="1" ht="14.25" customHeight="1"/>
    <row r="709" s="11" customFormat="1" ht="14.25" customHeight="1"/>
    <row r="710" s="11" customFormat="1" ht="14.25" customHeight="1"/>
    <row r="711" s="11" customFormat="1" ht="14.25" customHeight="1"/>
    <row r="712" s="11" customFormat="1" ht="14.25" customHeight="1"/>
    <row r="713" s="11" customFormat="1" ht="14.25" customHeight="1"/>
    <row r="714" s="11" customFormat="1" ht="14.25" customHeight="1"/>
    <row r="715" s="11" customFormat="1" ht="14.25" customHeight="1"/>
    <row r="716" s="11" customFormat="1" ht="14.25" customHeight="1"/>
    <row r="717" s="11" customFormat="1" ht="14.25" customHeight="1"/>
    <row r="718" s="11" customFormat="1" ht="14.25" customHeight="1"/>
    <row r="719" s="11" customFormat="1" ht="14.25" customHeight="1"/>
    <row r="720" s="11" customFormat="1" ht="14.25" customHeight="1"/>
    <row r="721" s="11" customFormat="1" ht="14.25" customHeight="1"/>
    <row r="722" s="11" customFormat="1" ht="14.25" customHeight="1"/>
    <row r="723" s="11" customFormat="1" ht="14.25" customHeight="1"/>
    <row r="724" s="11" customFormat="1" ht="14.25" customHeight="1"/>
    <row r="725" s="11" customFormat="1" ht="14.25" customHeight="1"/>
    <row r="726" s="11" customFormat="1" ht="14.25" customHeight="1"/>
    <row r="727" s="11" customFormat="1" ht="14.25" customHeight="1"/>
    <row r="728" s="11" customFormat="1" ht="14.25" customHeight="1"/>
    <row r="729" s="11" customFormat="1" ht="14.25" customHeight="1"/>
    <row r="730" s="11" customFormat="1" ht="14.25" customHeight="1"/>
    <row r="731" s="11" customFormat="1" ht="14.25" customHeight="1"/>
    <row r="732" s="11" customFormat="1" ht="14.25" customHeight="1"/>
    <row r="733" s="11" customFormat="1" ht="14.25" customHeight="1"/>
    <row r="734" s="11" customFormat="1" ht="14.25" customHeight="1"/>
    <row r="735" s="11" customFormat="1" ht="14.25" customHeight="1"/>
    <row r="736" s="11" customFormat="1" ht="14.25" customHeight="1"/>
    <row r="737" s="11" customFormat="1" ht="14.25" customHeight="1"/>
    <row r="738" s="11" customFormat="1" ht="14.25" customHeight="1"/>
    <row r="739" s="11" customFormat="1" ht="14.25" customHeight="1"/>
    <row r="740" s="11" customFormat="1" ht="14.25" customHeight="1"/>
    <row r="741" s="11" customFormat="1" ht="14.25" customHeight="1"/>
    <row r="742" s="11" customFormat="1" ht="14.25" customHeight="1"/>
    <row r="743" s="11" customFormat="1" ht="14.25" customHeight="1"/>
    <row r="744" s="11" customFormat="1" ht="14.25" customHeight="1"/>
    <row r="745" s="11" customFormat="1" ht="14.25" customHeight="1"/>
    <row r="746" s="11" customFormat="1" ht="14.25" customHeight="1"/>
    <row r="747" s="11" customFormat="1" ht="14.25" customHeight="1"/>
    <row r="748" s="11" customFormat="1" ht="14.25" customHeight="1"/>
    <row r="749" s="11" customFormat="1" ht="14.25" customHeight="1"/>
    <row r="750" s="11" customFormat="1" ht="14.25" customHeight="1"/>
    <row r="751" s="11" customFormat="1" ht="14.25" customHeight="1"/>
    <row r="752" s="11" customFormat="1" ht="14.25" customHeight="1"/>
    <row r="753" s="11" customFormat="1" ht="14.25" customHeight="1"/>
    <row r="754" s="11" customFormat="1" ht="14.25" customHeight="1"/>
    <row r="755" s="11" customFormat="1" ht="14.25" customHeight="1"/>
    <row r="756" s="11" customFormat="1" ht="14.25" customHeight="1"/>
    <row r="757" s="11" customFormat="1" ht="14.25" customHeight="1"/>
    <row r="758" s="11" customFormat="1" ht="14.25" customHeight="1"/>
    <row r="759" s="11" customFormat="1" ht="14.25" customHeight="1"/>
    <row r="760" s="11" customFormat="1" ht="14.25" customHeight="1"/>
    <row r="761" s="11" customFormat="1" ht="14.25" customHeight="1"/>
    <row r="762" s="11" customFormat="1" ht="14.25" customHeight="1"/>
    <row r="763" s="11" customFormat="1" ht="14.25" customHeight="1"/>
    <row r="764" s="11" customFormat="1" ht="14.25" customHeight="1"/>
    <row r="765" s="11" customFormat="1" ht="14.25" customHeight="1"/>
    <row r="766" s="11" customFormat="1" ht="14.25" customHeight="1"/>
    <row r="767" s="11" customFormat="1" ht="14.25" customHeight="1"/>
    <row r="768" s="11" customFormat="1" ht="14.25" customHeight="1"/>
    <row r="769" s="11" customFormat="1" ht="14.25" customHeight="1"/>
    <row r="770" s="11" customFormat="1" ht="14.25" customHeight="1"/>
    <row r="771" s="11" customFormat="1" ht="14.25" customHeight="1"/>
    <row r="772" s="11" customFormat="1" ht="14.25" customHeight="1"/>
    <row r="773" s="11" customFormat="1" ht="14.25" customHeight="1"/>
    <row r="774" s="11" customFormat="1" ht="14.25" customHeight="1"/>
    <row r="775" s="11" customFormat="1" ht="14.25" customHeight="1"/>
    <row r="776" s="11" customFormat="1" ht="14.25" customHeight="1"/>
    <row r="777" s="11" customFormat="1" ht="14.25" customHeight="1"/>
    <row r="778" s="11" customFormat="1" ht="14.25" customHeight="1"/>
    <row r="779" s="11" customFormat="1" ht="14.25" customHeight="1"/>
    <row r="780" s="11" customFormat="1" ht="14.25" customHeight="1"/>
    <row r="781" s="11" customFormat="1" ht="14.25" customHeight="1"/>
    <row r="782" s="11" customFormat="1" ht="14.25" customHeight="1"/>
    <row r="783" s="11" customFormat="1" ht="14.25" customHeight="1"/>
    <row r="784" s="11" customFormat="1" ht="14.25" customHeight="1"/>
    <row r="785" s="11" customFormat="1" ht="14.25" customHeight="1"/>
    <row r="786" s="11" customFormat="1" ht="14.25" customHeight="1"/>
    <row r="787" s="11" customFormat="1" ht="14.25" customHeight="1"/>
    <row r="788" s="11" customFormat="1" ht="14.25" customHeight="1"/>
    <row r="789" s="11" customFormat="1" ht="14.25" customHeight="1"/>
    <row r="790" s="11" customFormat="1" ht="14.25" customHeight="1"/>
    <row r="791" s="11" customFormat="1" ht="14.25" customHeight="1"/>
    <row r="792" s="11" customFormat="1" ht="14.25" customHeight="1"/>
    <row r="793" s="11" customFormat="1" ht="14.25" customHeight="1"/>
    <row r="794" s="11" customFormat="1" ht="14.25" customHeight="1"/>
    <row r="795" s="11" customFormat="1" ht="14.25" customHeight="1"/>
    <row r="796" s="11" customFormat="1" ht="14.25" customHeight="1"/>
    <row r="797" s="11" customFormat="1" ht="14.25" customHeight="1"/>
    <row r="798" s="11" customFormat="1" ht="14.25" customHeight="1"/>
    <row r="799" s="11" customFormat="1" ht="14.25" customHeight="1"/>
    <row r="800" s="11" customFormat="1" ht="14.25" customHeight="1"/>
    <row r="801" s="11" customFormat="1" ht="14.25" customHeight="1"/>
    <row r="802" s="11" customFormat="1" ht="14.25" customHeight="1"/>
    <row r="803" s="11" customFormat="1" ht="14.25" customHeight="1"/>
    <row r="804" s="11" customFormat="1" ht="14.25" customHeight="1"/>
    <row r="805" s="11" customFormat="1" ht="14.25" customHeight="1"/>
    <row r="806" s="11" customFormat="1" ht="14.25" customHeight="1"/>
    <row r="807" s="11" customFormat="1" ht="14.25" customHeight="1"/>
    <row r="808" s="11" customFormat="1" ht="14.25" customHeight="1"/>
    <row r="809" s="11" customFormat="1" ht="14.25" customHeight="1"/>
    <row r="810" s="11" customFormat="1" ht="14.25" customHeight="1"/>
    <row r="811" s="11" customFormat="1" ht="14.25" customHeight="1"/>
    <row r="812" s="11" customFormat="1" ht="14.25" customHeight="1"/>
    <row r="813" s="11" customFormat="1" ht="14.25" customHeight="1"/>
    <row r="814" s="11" customFormat="1" ht="14.25" customHeight="1"/>
    <row r="815" s="11" customFormat="1" ht="14.25" customHeight="1"/>
    <row r="816" s="11" customFormat="1" ht="14.25" customHeight="1"/>
    <row r="817" s="11" customFormat="1" ht="14.25" customHeight="1"/>
    <row r="818" s="11" customFormat="1" ht="14.25" customHeight="1"/>
    <row r="819" s="11" customFormat="1" ht="14.25" customHeight="1"/>
    <row r="820" s="11" customFormat="1" ht="14.25" customHeight="1"/>
    <row r="821" s="11" customFormat="1" ht="14.25" customHeight="1"/>
    <row r="822" s="11" customFormat="1" ht="14.25" customHeight="1"/>
    <row r="823" s="11" customFormat="1" ht="14.25" customHeight="1"/>
    <row r="824" s="11" customFormat="1" ht="14.25" customHeight="1"/>
    <row r="825" s="11" customFormat="1" ht="14.25" customHeight="1"/>
    <row r="826" s="11" customFormat="1" ht="14.25" customHeight="1"/>
    <row r="827" s="11" customFormat="1" ht="14.25" customHeight="1"/>
    <row r="828" s="11" customFormat="1" ht="14.25" customHeight="1"/>
    <row r="829" s="11" customFormat="1" ht="14.25" customHeight="1"/>
    <row r="830" s="11" customFormat="1" ht="14.25" customHeight="1"/>
    <row r="831" s="11" customFormat="1" ht="14.25" customHeight="1"/>
    <row r="832" s="11" customFormat="1" ht="14.25" customHeight="1"/>
    <row r="833" s="11" customFormat="1" ht="14.25" customHeight="1"/>
    <row r="834" s="11" customFormat="1" ht="14.25" customHeight="1"/>
    <row r="835" s="11" customFormat="1" ht="14.25" customHeight="1"/>
    <row r="836" s="11" customFormat="1" ht="14.25" customHeight="1"/>
    <row r="837" s="11" customFormat="1" ht="14.25" customHeight="1"/>
    <row r="838" s="11" customFormat="1" ht="14.25" customHeight="1"/>
    <row r="839" s="11" customFormat="1" ht="14.25" customHeight="1"/>
    <row r="840" s="11" customFormat="1" ht="14.25" customHeight="1"/>
    <row r="841" s="11" customFormat="1" ht="14.25" customHeight="1"/>
    <row r="842" s="11" customFormat="1" ht="14.25" customHeight="1"/>
    <row r="843" s="11" customFormat="1" ht="14.25" customHeight="1"/>
    <row r="844" s="11" customFormat="1" ht="14.25" customHeight="1"/>
    <row r="845" s="11" customFormat="1" ht="14.25" customHeight="1"/>
    <row r="846" s="11" customFormat="1" ht="14.25" customHeight="1"/>
    <row r="847" s="11" customFormat="1" ht="14.25" customHeight="1"/>
    <row r="848" s="11" customFormat="1" ht="14.25" customHeight="1"/>
    <row r="849" s="11" customFormat="1" ht="14.25" customHeight="1"/>
    <row r="850" s="11" customFormat="1" ht="14.25" customHeight="1"/>
    <row r="851" s="11" customFormat="1" ht="14.25" customHeight="1"/>
    <row r="852" s="11" customFormat="1" ht="14.25" customHeight="1"/>
    <row r="853" s="11" customFormat="1" ht="14.25" customHeight="1"/>
    <row r="854" s="11" customFormat="1" ht="14.25" customHeight="1"/>
    <row r="855" s="11" customFormat="1" ht="14.25" customHeight="1"/>
    <row r="856" s="11" customFormat="1" ht="14.25" customHeight="1"/>
    <row r="857" s="11" customFormat="1" ht="14.25" customHeight="1"/>
    <row r="858" s="11" customFormat="1" ht="14.25" customHeight="1"/>
    <row r="859" s="11" customFormat="1" ht="14.25" customHeight="1"/>
    <row r="860" s="11" customFormat="1" ht="14.25" customHeight="1"/>
    <row r="861" s="11" customFormat="1" ht="14.25" customHeight="1"/>
    <row r="862" s="11" customFormat="1" ht="14.25" customHeight="1"/>
    <row r="863" s="11" customFormat="1" ht="14.25" customHeight="1"/>
    <row r="864" s="11" customFormat="1" ht="14.25" customHeight="1"/>
    <row r="865" s="11" customFormat="1" ht="14.25" customHeight="1"/>
    <row r="866" s="11" customFormat="1" ht="14.25" customHeight="1"/>
    <row r="867" s="11" customFormat="1" ht="14.25" customHeight="1"/>
    <row r="868" s="11" customFormat="1" ht="14.25" customHeight="1"/>
    <row r="869" s="11" customFormat="1" ht="14.25" customHeight="1"/>
    <row r="870" s="11" customFormat="1" ht="14.25" customHeight="1"/>
    <row r="871" s="11" customFormat="1" ht="14.25" customHeight="1"/>
    <row r="872" s="11" customFormat="1" ht="14.25" customHeight="1"/>
    <row r="873" s="11" customFormat="1" ht="14.25" customHeight="1"/>
    <row r="874" s="11" customFormat="1" ht="14.25" customHeight="1"/>
    <row r="875" s="11" customFormat="1" ht="14.25" customHeight="1"/>
    <row r="876" s="11" customFormat="1" ht="14.25" customHeight="1"/>
    <row r="877" s="11" customFormat="1" ht="14.25" customHeight="1"/>
    <row r="878" s="11" customFormat="1" ht="14.25" customHeight="1"/>
    <row r="879" s="11" customFormat="1" ht="14.25" customHeight="1"/>
    <row r="880" s="11" customFormat="1" ht="14.25" customHeight="1"/>
    <row r="881" s="11" customFormat="1" ht="14.25" customHeight="1"/>
    <row r="882" s="11" customFormat="1" ht="14.25" customHeight="1"/>
    <row r="883" s="11" customFormat="1" ht="14.25" customHeight="1"/>
    <row r="884" s="11" customFormat="1" ht="14.25" customHeight="1"/>
    <row r="885" s="11" customFormat="1" ht="14.25" customHeight="1"/>
    <row r="886" s="11" customFormat="1" ht="14.25" customHeight="1"/>
    <row r="887" s="11" customFormat="1" ht="14.25" customHeight="1"/>
    <row r="888" s="11" customFormat="1" ht="14.25" customHeight="1"/>
    <row r="889" s="11" customFormat="1" ht="14.25" customHeight="1"/>
    <row r="890" s="11" customFormat="1" ht="14.25" customHeight="1"/>
    <row r="891" s="11" customFormat="1" ht="14.25" customHeight="1"/>
    <row r="892" s="11" customFormat="1" ht="14.25" customHeight="1"/>
    <row r="893" s="11" customFormat="1" ht="14.25" customHeight="1"/>
    <row r="894" s="11" customFormat="1" ht="14.25" customHeight="1"/>
    <row r="895" s="11" customFormat="1" ht="14.25" customHeight="1"/>
    <row r="896" s="11" customFormat="1" ht="14.25" customHeight="1"/>
    <row r="897" s="11" customFormat="1" ht="14.25" customHeight="1"/>
    <row r="898" s="11" customFormat="1" ht="14.25" customHeight="1"/>
    <row r="899" s="11" customFormat="1" ht="14.25" customHeight="1"/>
    <row r="900" s="11" customFormat="1" ht="14.25" customHeight="1"/>
    <row r="901" s="11" customFormat="1" ht="14.25" customHeight="1"/>
    <row r="902" s="11" customFormat="1" ht="14.25" customHeight="1"/>
    <row r="903" s="11" customFormat="1" ht="14.25" customHeight="1"/>
    <row r="904" s="11" customFormat="1" ht="14.25" customHeight="1"/>
    <row r="905" s="11" customFormat="1" ht="14.25" customHeight="1"/>
    <row r="906" s="11" customFormat="1" ht="14.25" customHeight="1"/>
    <row r="907" s="11" customFormat="1" ht="14.25" customHeight="1"/>
    <row r="908" s="11" customFormat="1" ht="14.25" customHeight="1"/>
    <row r="909" s="11" customFormat="1" ht="14.25" customHeight="1"/>
    <row r="910" s="11" customFormat="1" ht="14.25" customHeight="1"/>
    <row r="911" s="11" customFormat="1" ht="14.25" customHeight="1"/>
    <row r="912" s="11" customFormat="1" ht="14.25" customHeight="1"/>
    <row r="913" s="11" customFormat="1" ht="14.25" customHeight="1"/>
    <row r="914" s="11" customFormat="1" ht="14.25" customHeight="1"/>
    <row r="915" s="11" customFormat="1" ht="14.25" customHeight="1"/>
    <row r="916" s="11" customFormat="1" ht="14.25" customHeight="1"/>
    <row r="917" s="11" customFormat="1" ht="14.25" customHeight="1"/>
    <row r="918" s="11" customFormat="1" ht="14.25" customHeight="1"/>
    <row r="919" s="11" customFormat="1" ht="14.25" customHeight="1"/>
    <row r="920" s="11" customFormat="1" ht="14.25" customHeight="1"/>
    <row r="921" s="11" customFormat="1" ht="14.25" customHeight="1"/>
    <row r="922" s="11" customFormat="1" ht="14.25" customHeight="1"/>
    <row r="923" s="11" customFormat="1" ht="14.25" customHeight="1"/>
    <row r="924" s="11" customFormat="1" ht="14.25" customHeight="1"/>
    <row r="925" s="11" customFormat="1" ht="14.25" customHeight="1"/>
    <row r="926" s="11" customFormat="1" ht="14.25" customHeight="1"/>
    <row r="927" s="11" customFormat="1" ht="14.25" customHeight="1"/>
    <row r="928" s="11" customFormat="1" ht="14.25" customHeight="1"/>
    <row r="929" s="11" customFormat="1" ht="14.25" customHeight="1"/>
    <row r="930" s="11" customFormat="1" ht="14.25" customHeight="1"/>
    <row r="931" s="11" customFormat="1" ht="14.25" customHeight="1"/>
    <row r="932" s="11" customFormat="1" ht="14.25" customHeight="1"/>
    <row r="933" s="11" customFormat="1" ht="14.25" customHeight="1"/>
    <row r="934" s="11" customFormat="1" ht="14.25" customHeight="1"/>
    <row r="935" s="11" customFormat="1" ht="14.25" customHeight="1"/>
    <row r="936" s="11" customFormat="1" ht="14.25" customHeight="1"/>
    <row r="937" s="11" customFormat="1" ht="14.25" customHeight="1"/>
    <row r="938" s="11" customFormat="1" ht="14.25" customHeight="1"/>
    <row r="939" s="11" customFormat="1" ht="14.25" customHeight="1"/>
    <row r="940" s="11" customFormat="1" ht="14.25" customHeight="1"/>
    <row r="941" s="11" customFormat="1" ht="14.25" customHeight="1"/>
    <row r="942" s="11" customFormat="1" ht="14.25" customHeight="1"/>
    <row r="943" s="11" customFormat="1" ht="14.25" customHeight="1"/>
    <row r="944" s="11" customFormat="1" ht="14.25" customHeight="1"/>
    <row r="945" s="11" customFormat="1" ht="14.25" customHeight="1"/>
    <row r="946" s="11" customFormat="1" ht="14.25" customHeight="1"/>
    <row r="947" s="11" customFormat="1" ht="14.25" customHeight="1"/>
    <row r="948" s="11" customFormat="1" ht="14.25" customHeight="1"/>
    <row r="949" s="11" customFormat="1" ht="14.25" customHeight="1"/>
    <row r="950" s="11" customFormat="1" ht="14.25" customHeight="1"/>
    <row r="951" s="11" customFormat="1" ht="14.25" customHeight="1"/>
    <row r="952" s="11" customFormat="1" ht="14.25" customHeight="1"/>
    <row r="953" s="11" customFormat="1" ht="14.25" customHeight="1"/>
    <row r="954" s="11" customFormat="1" ht="14.25" customHeight="1"/>
    <row r="955" s="11" customFormat="1" ht="14.25" customHeight="1"/>
    <row r="956" s="11" customFormat="1" ht="14.25" customHeight="1"/>
    <row r="957" s="11" customFormat="1" ht="14.25" customHeight="1"/>
    <row r="958" s="11" customFormat="1" ht="14.25" customHeight="1"/>
    <row r="959" s="11" customFormat="1" ht="14.25" customHeight="1"/>
    <row r="960" s="11" customFormat="1" ht="14.25" customHeight="1"/>
    <row r="961" s="11" customFormat="1" ht="14.25" customHeight="1"/>
    <row r="962" s="11" customFormat="1" ht="14.25" customHeight="1"/>
    <row r="963" s="11" customFormat="1" ht="14.25" customHeight="1"/>
    <row r="964" s="11" customFormat="1" ht="14.25" customHeight="1"/>
    <row r="965" s="11" customFormat="1" ht="14.25" customHeight="1"/>
    <row r="966" s="11" customFormat="1" ht="14.25" customHeight="1"/>
    <row r="967" s="11" customFormat="1" ht="14.25" customHeight="1"/>
    <row r="968" s="11" customFormat="1" ht="14.25" customHeight="1"/>
    <row r="969" s="11" customFormat="1" ht="14.25" customHeight="1"/>
    <row r="970" s="11" customFormat="1" ht="14.25" customHeight="1"/>
    <row r="971" s="11" customFormat="1" ht="14.25" customHeight="1"/>
    <row r="972" s="11" customFormat="1" ht="14.25" customHeight="1"/>
    <row r="973" s="11" customFormat="1" ht="14.25" customHeight="1"/>
    <row r="974" s="11" customFormat="1" ht="14.25" customHeight="1"/>
    <row r="975" s="11" customFormat="1" ht="14.25" customHeight="1"/>
    <row r="976" s="11" customFormat="1" ht="14.25" customHeight="1"/>
    <row r="977" s="11" customFormat="1" ht="14.25" customHeight="1"/>
    <row r="978" s="11" customFormat="1" ht="14.25" customHeight="1"/>
    <row r="979" s="11" customFormat="1" ht="14.25" customHeight="1"/>
    <row r="980" s="11" customFormat="1" ht="14.25" customHeight="1"/>
    <row r="981" s="11" customFormat="1" ht="14.25" customHeight="1"/>
    <row r="982" s="11" customFormat="1" ht="14.25" customHeight="1"/>
    <row r="983" s="11" customFormat="1" ht="14.25" customHeight="1"/>
    <row r="984" s="11" customFormat="1" ht="14.25" customHeight="1"/>
    <row r="985" s="11" customFormat="1" ht="14.25" customHeight="1"/>
    <row r="986" s="11" customFormat="1" ht="14.25" customHeight="1"/>
    <row r="987" s="11" customFormat="1" ht="14.25" customHeight="1"/>
    <row r="988" s="11" customFormat="1" ht="14.25" customHeight="1"/>
    <row r="989" s="11" customFormat="1" ht="14.25" customHeight="1"/>
    <row r="990" s="11" customFormat="1" ht="14.25" customHeight="1"/>
    <row r="991" s="11" customFormat="1" ht="14.25" customHeight="1"/>
    <row r="992" s="11" customFormat="1" ht="14.25" customHeight="1"/>
    <row r="993" s="11" customFormat="1" ht="14.25" customHeight="1"/>
    <row r="994" s="11" customFormat="1" ht="14.25" customHeight="1"/>
    <row r="995" s="11" customFormat="1" ht="14.25" customHeight="1"/>
    <row r="996" s="11" customFormat="1" ht="14.25" customHeight="1"/>
    <row r="997" s="11" customFormat="1" ht="14.25" customHeight="1"/>
    <row r="998" s="11" customFormat="1" ht="14.25" customHeight="1"/>
    <row r="999" s="11" customFormat="1" ht="14.25" customHeight="1"/>
    <row r="1000" s="11" customFormat="1" ht="14.25" customHeight="1"/>
  </sheetData>
  <mergeCells count="1">
    <mergeCell ref="C3:F4"/>
  </mergeCells>
  <hyperlinks>
    <hyperlink ref="C1" r:id="rId2" display="https://youtu.be/y6btQi8gh2A" tooltip="https://youtu.be/y6btQi8gh2A"/>
  </hyperlinks>
  <pageMargins left="0.75" right="0.75" top="1" bottom="1" header="0.5" footer="0.5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2"/>
  <sheetViews>
    <sheetView workbookViewId="0">
      <selection activeCell="C10" sqref="C10"/>
    </sheetView>
  </sheetViews>
  <sheetFormatPr defaultColWidth="9.14285714285714" defaultRowHeight="15"/>
  <cols>
    <col min="1" max="2" width="13.4285714285714" customWidth="1"/>
    <col min="3" max="3" width="12.5714285714286" customWidth="1"/>
    <col min="5" max="5" width="4.14285714285714" customWidth="1"/>
    <col min="6" max="6" width="23.2857142857143" customWidth="1"/>
    <col min="7" max="7" width="8.28571428571429" customWidth="1"/>
    <col min="8" max="8" width="14.8571428571429" customWidth="1"/>
    <col min="9" max="9" width="13.4285714285714" customWidth="1"/>
    <col min="11" max="11" width="4.14285714285714" customWidth="1"/>
    <col min="12" max="12" width="23.2857142857143" customWidth="1"/>
    <col min="13" max="13" width="8.28571428571429" customWidth="1"/>
    <col min="14" max="14" width="14.8571428571429" customWidth="1"/>
    <col min="15" max="15" width="13.4285714285714" customWidth="1"/>
  </cols>
  <sheetData>
    <row r="1" spans="1:15">
      <c r="A1" s="77" t="s">
        <v>47</v>
      </c>
      <c r="B1" s="5"/>
      <c r="C1" s="6"/>
      <c r="D1" s="11"/>
      <c r="E1" s="78" t="s">
        <v>48</v>
      </c>
      <c r="F1" s="2"/>
      <c r="G1" s="2"/>
      <c r="H1" s="2"/>
      <c r="I1" s="2"/>
      <c r="J1" s="11"/>
      <c r="K1" s="79" t="s">
        <v>49</v>
      </c>
      <c r="L1" s="2"/>
      <c r="M1" s="2"/>
      <c r="N1" s="2"/>
      <c r="O1" s="2"/>
    </row>
    <row r="2" spans="1:15">
      <c r="A2" s="77" t="s">
        <v>50</v>
      </c>
      <c r="B2" s="5"/>
      <c r="C2" s="6"/>
      <c r="D2" s="11"/>
      <c r="E2" s="2"/>
      <c r="F2" s="2"/>
      <c r="G2" s="2"/>
      <c r="H2" s="2"/>
      <c r="I2" s="2"/>
      <c r="J2" s="11"/>
      <c r="K2" s="2"/>
      <c r="L2" s="2"/>
      <c r="M2" s="2"/>
      <c r="N2" s="2"/>
      <c r="O2" s="2"/>
    </row>
    <row r="3" spans="1:15">
      <c r="A3" s="80" t="s">
        <v>49</v>
      </c>
      <c r="B3" s="80" t="s">
        <v>48</v>
      </c>
      <c r="C3" s="80" t="s">
        <v>51</v>
      </c>
      <c r="D3" s="11"/>
      <c r="E3" s="70" t="s">
        <v>52</v>
      </c>
      <c r="F3" s="70" t="s">
        <v>53</v>
      </c>
      <c r="G3" s="70" t="s">
        <v>54</v>
      </c>
      <c r="H3" s="70" t="s">
        <v>55</v>
      </c>
      <c r="I3" s="70" t="s">
        <v>56</v>
      </c>
      <c r="J3" s="11"/>
      <c r="K3" s="70" t="s">
        <v>52</v>
      </c>
      <c r="L3" s="70" t="s">
        <v>53</v>
      </c>
      <c r="M3" s="70" t="s">
        <v>54</v>
      </c>
      <c r="N3" s="70" t="s">
        <v>55</v>
      </c>
      <c r="O3" s="70" t="s">
        <v>56</v>
      </c>
    </row>
    <row r="4" spans="1:15">
      <c r="A4" s="81">
        <v>54370000</v>
      </c>
      <c r="B4" s="81">
        <v>52247000</v>
      </c>
      <c r="C4" s="82">
        <f>A4-B4</f>
        <v>2123000</v>
      </c>
      <c r="D4" s="11"/>
      <c r="E4" s="70">
        <v>1</v>
      </c>
      <c r="F4" s="72" t="s">
        <v>57</v>
      </c>
      <c r="G4" s="72">
        <v>3</v>
      </c>
      <c r="H4" s="73">
        <v>9600000</v>
      </c>
      <c r="I4" s="83">
        <f t="shared" ref="I4:I8" si="0">G4*H4</f>
        <v>28800000</v>
      </c>
      <c r="J4" s="11"/>
      <c r="K4" s="70">
        <v>1</v>
      </c>
      <c r="L4" s="72" t="s">
        <v>57</v>
      </c>
      <c r="M4" s="72">
        <v>3</v>
      </c>
      <c r="N4" s="73">
        <v>9842000</v>
      </c>
      <c r="O4" s="83">
        <f t="shared" ref="O4:O8" si="1">M4*N4</f>
        <v>29526000</v>
      </c>
    </row>
    <row r="5" spans="1:15">
      <c r="A5" s="75"/>
      <c r="B5" s="75"/>
      <c r="C5" s="75"/>
      <c r="D5" s="11"/>
      <c r="E5" s="70">
        <v>2</v>
      </c>
      <c r="F5" s="72" t="s">
        <v>58</v>
      </c>
      <c r="G5" s="72">
        <v>1</v>
      </c>
      <c r="H5" s="73">
        <v>2010000</v>
      </c>
      <c r="I5" s="83">
        <f t="shared" si="0"/>
        <v>2010000</v>
      </c>
      <c r="J5" s="11"/>
      <c r="K5" s="70">
        <v>2</v>
      </c>
      <c r="L5" s="72" t="s">
        <v>58</v>
      </c>
      <c r="M5" s="72">
        <v>1</v>
      </c>
      <c r="N5" s="73">
        <v>2050000</v>
      </c>
      <c r="O5" s="83">
        <f t="shared" si="1"/>
        <v>2050000</v>
      </c>
    </row>
    <row r="6" spans="1:15">
      <c r="A6" s="75"/>
      <c r="B6" s="75"/>
      <c r="C6" s="75"/>
      <c r="D6" s="11"/>
      <c r="E6" s="70">
        <v>3</v>
      </c>
      <c r="F6" s="72" t="s">
        <v>59</v>
      </c>
      <c r="G6" s="72">
        <v>1</v>
      </c>
      <c r="H6" s="73">
        <v>2899000</v>
      </c>
      <c r="I6" s="83">
        <f t="shared" si="0"/>
        <v>2899000</v>
      </c>
      <c r="J6" s="11"/>
      <c r="K6" s="70">
        <v>3</v>
      </c>
      <c r="L6" s="72" t="s">
        <v>59</v>
      </c>
      <c r="M6" s="72">
        <v>1</v>
      </c>
      <c r="N6" s="73">
        <v>3000000</v>
      </c>
      <c r="O6" s="83">
        <f t="shared" si="1"/>
        <v>3000000</v>
      </c>
    </row>
    <row r="7" spans="1:15">
      <c r="A7" s="77" t="s">
        <v>60</v>
      </c>
      <c r="B7" s="5"/>
      <c r="C7" s="6"/>
      <c r="D7" s="11"/>
      <c r="E7" s="70">
        <v>4</v>
      </c>
      <c r="F7" s="72" t="s">
        <v>61</v>
      </c>
      <c r="G7" s="72">
        <v>4</v>
      </c>
      <c r="H7" s="73">
        <v>1600000</v>
      </c>
      <c r="I7" s="83">
        <f t="shared" si="0"/>
        <v>6400000</v>
      </c>
      <c r="J7" s="11"/>
      <c r="K7" s="70">
        <v>4</v>
      </c>
      <c r="L7" s="72" t="s">
        <v>61</v>
      </c>
      <c r="M7" s="72">
        <v>4</v>
      </c>
      <c r="N7" s="73">
        <v>1799000</v>
      </c>
      <c r="O7" s="83">
        <f t="shared" si="1"/>
        <v>7196000</v>
      </c>
    </row>
    <row r="8" spans="1:15">
      <c r="A8" s="77" t="s">
        <v>62</v>
      </c>
      <c r="B8" s="5"/>
      <c r="C8" s="6"/>
      <c r="D8" s="11"/>
      <c r="E8" s="70">
        <v>5</v>
      </c>
      <c r="F8" s="72" t="s">
        <v>63</v>
      </c>
      <c r="G8" s="72">
        <v>2</v>
      </c>
      <c r="H8" s="73">
        <v>6069000</v>
      </c>
      <c r="I8" s="83">
        <f t="shared" si="0"/>
        <v>12138000</v>
      </c>
      <c r="J8" s="11"/>
      <c r="K8" s="70">
        <v>5</v>
      </c>
      <c r="L8" s="72" t="s">
        <v>63</v>
      </c>
      <c r="M8" s="72">
        <v>2</v>
      </c>
      <c r="N8" s="73">
        <v>6299000</v>
      </c>
      <c r="O8" s="83">
        <f t="shared" si="1"/>
        <v>12598000</v>
      </c>
    </row>
    <row r="9" spans="1:15">
      <c r="A9" s="80" t="s">
        <v>51</v>
      </c>
      <c r="B9" s="80" t="s">
        <v>48</v>
      </c>
      <c r="C9" s="80" t="s">
        <v>28</v>
      </c>
      <c r="D9" s="11"/>
      <c r="E9" s="11"/>
      <c r="F9" s="11"/>
      <c r="G9" s="11"/>
      <c r="H9" s="84" t="s">
        <v>64</v>
      </c>
      <c r="I9" s="85">
        <f>SUM(I4:I8)</f>
        <v>52247000</v>
      </c>
      <c r="J9" s="11"/>
      <c r="K9" s="11"/>
      <c r="L9" s="11"/>
      <c r="M9" s="11"/>
      <c r="N9" s="86" t="s">
        <v>64</v>
      </c>
      <c r="O9" s="87">
        <f>SUM(O4:O8)</f>
        <v>54370000</v>
      </c>
    </row>
    <row r="10" spans="1:15">
      <c r="A10" s="81">
        <v>2123000</v>
      </c>
      <c r="B10" s="81">
        <v>52247000</v>
      </c>
      <c r="C10" s="88">
        <f>A10/B10</f>
        <v>0.0406339119949471</v>
      </c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spans="1:15">
      <c r="A11" s="75"/>
      <c r="B11" s="75"/>
      <c r="C11" s="75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spans="1:15">
      <c r="A12" s="75"/>
      <c r="B12" s="75"/>
      <c r="C12" s="75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</row>
    <row r="13" spans="1:15">
      <c r="A13" s="77" t="s">
        <v>65</v>
      </c>
      <c r="B13" s="5"/>
      <c r="C13" s="6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</row>
    <row r="14" spans="1:15">
      <c r="A14" s="77" t="s">
        <v>66</v>
      </c>
      <c r="B14" s="5"/>
      <c r="C14" s="6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</row>
    <row r="15" spans="1:15">
      <c r="A15" s="80" t="s">
        <v>56</v>
      </c>
      <c r="B15" s="80" t="s">
        <v>54</v>
      </c>
      <c r="C15" s="80" t="s">
        <v>67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spans="1:15">
      <c r="A16" s="81">
        <v>52247000</v>
      </c>
      <c r="B16" s="89">
        <v>11</v>
      </c>
      <c r="C16" s="90">
        <f>A16/B16</f>
        <v>4749727.27272727</v>
      </c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</row>
    <row r="17" spans="1:15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</row>
    <row r="18" spans="1:15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</row>
    <row r="19" spans="1:15">
      <c r="A19" s="77" t="s">
        <v>68</v>
      </c>
      <c r="B19" s="5"/>
      <c r="C19" s="6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</row>
    <row r="20" spans="1:15">
      <c r="A20" s="77" t="s">
        <v>66</v>
      </c>
      <c r="B20" s="5"/>
      <c r="C20" s="6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</row>
    <row r="21" spans="1:15">
      <c r="A21" s="80" t="s">
        <v>56</v>
      </c>
      <c r="B21" s="80" t="s">
        <v>54</v>
      </c>
      <c r="C21" s="80" t="s">
        <v>67</v>
      </c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</row>
    <row r="22" spans="1:15">
      <c r="A22" s="81">
        <v>54370000</v>
      </c>
      <c r="B22" s="89">
        <v>11</v>
      </c>
      <c r="C22" s="91">
        <f>A22/B22</f>
        <v>4942727.27272727</v>
      </c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</row>
  </sheetData>
  <mergeCells count="10">
    <mergeCell ref="A1:C1"/>
    <mergeCell ref="A2:C2"/>
    <mergeCell ref="A7:C7"/>
    <mergeCell ref="A8:C8"/>
    <mergeCell ref="A13:C13"/>
    <mergeCell ref="A14:C14"/>
    <mergeCell ref="A19:C19"/>
    <mergeCell ref="A20:C20"/>
    <mergeCell ref="E1:I2"/>
    <mergeCell ref="K1:O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4"/>
  <sheetViews>
    <sheetView workbookViewId="0">
      <selection activeCell="E15" sqref="E15"/>
    </sheetView>
  </sheetViews>
  <sheetFormatPr defaultColWidth="9.14285714285714" defaultRowHeight="15"/>
  <cols>
    <col min="1" max="1" width="4.14285714285714" customWidth="1"/>
    <col min="2" max="2" width="32" customWidth="1"/>
    <col min="3" max="3" width="8.28571428571429" customWidth="1"/>
    <col min="4" max="4" width="14.8571428571429" customWidth="1"/>
    <col min="5" max="5" width="25.2857142857143" customWidth="1"/>
    <col min="6" max="6" width="17.4285714285714" customWidth="1"/>
    <col min="7" max="7" width="23.1428571428571" customWidth="1"/>
    <col min="9" max="9" width="10.1428571428571" customWidth="1"/>
    <col min="10" max="10" width="5.85714285714286" customWidth="1"/>
  </cols>
  <sheetData>
    <row r="1" spans="1:10">
      <c r="A1" s="67" t="s">
        <v>69</v>
      </c>
      <c r="B1" s="2"/>
      <c r="C1" s="2"/>
      <c r="D1" s="2"/>
      <c r="E1" s="2"/>
      <c r="F1" s="2"/>
      <c r="G1" s="2"/>
      <c r="H1" s="11"/>
      <c r="I1" s="68" t="s">
        <v>70</v>
      </c>
      <c r="J1" s="69">
        <v>0.02</v>
      </c>
    </row>
    <row r="2" spans="1:10">
      <c r="A2" s="18"/>
      <c r="B2" s="18"/>
      <c r="C2" s="18"/>
      <c r="D2" s="18"/>
      <c r="E2" s="18"/>
      <c r="F2" s="18"/>
      <c r="G2" s="18"/>
      <c r="H2" s="11"/>
      <c r="I2" s="7"/>
      <c r="J2" s="7"/>
    </row>
    <row r="3" spans="1:10">
      <c r="A3" s="70" t="s">
        <v>52</v>
      </c>
      <c r="B3" s="70" t="s">
        <v>53</v>
      </c>
      <c r="C3" s="70" t="s">
        <v>54</v>
      </c>
      <c r="D3" s="70" t="s">
        <v>55</v>
      </c>
      <c r="E3" s="71" t="s">
        <v>71</v>
      </c>
      <c r="F3" s="70" t="s">
        <v>72</v>
      </c>
      <c r="G3" s="70" t="s">
        <v>73</v>
      </c>
      <c r="H3" s="11"/>
      <c r="I3" s="11"/>
      <c r="J3" s="11"/>
    </row>
    <row r="4" spans="1:10">
      <c r="A4" s="70">
        <v>1</v>
      </c>
      <c r="B4" s="72" t="s">
        <v>57</v>
      </c>
      <c r="C4" s="72">
        <v>3</v>
      </c>
      <c r="D4" s="73">
        <v>9842000</v>
      </c>
      <c r="E4" s="74">
        <f t="shared" ref="E4:E23" si="0">C4*D4</f>
        <v>29526000</v>
      </c>
      <c r="F4" s="74">
        <f t="shared" ref="F4:F24" si="1">E4*$P$5</f>
        <v>0</v>
      </c>
      <c r="G4" s="74">
        <f t="shared" ref="G4:G24" si="2">E4-F4</f>
        <v>29526000</v>
      </c>
      <c r="H4" s="11"/>
      <c r="I4" s="11"/>
      <c r="J4" s="11"/>
    </row>
    <row r="5" spans="1:10">
      <c r="A5" s="70">
        <v>2</v>
      </c>
      <c r="B5" s="72" t="s">
        <v>58</v>
      </c>
      <c r="C5" s="72">
        <v>1</v>
      </c>
      <c r="D5" s="73">
        <v>2050000</v>
      </c>
      <c r="E5" s="74">
        <f t="shared" si="0"/>
        <v>2050000</v>
      </c>
      <c r="F5" s="74">
        <f t="shared" si="1"/>
        <v>0</v>
      </c>
      <c r="G5" s="74">
        <f t="shared" si="2"/>
        <v>2050000</v>
      </c>
      <c r="H5" s="11"/>
      <c r="I5" s="11"/>
      <c r="J5" s="11"/>
    </row>
    <row r="6" spans="1:10">
      <c r="A6" s="70">
        <v>3</v>
      </c>
      <c r="B6" s="72" t="s">
        <v>59</v>
      </c>
      <c r="C6" s="72">
        <v>1</v>
      </c>
      <c r="D6" s="73">
        <v>3000000</v>
      </c>
      <c r="E6" s="74">
        <f t="shared" si="0"/>
        <v>3000000</v>
      </c>
      <c r="F6" s="74">
        <f t="shared" si="1"/>
        <v>0</v>
      </c>
      <c r="G6" s="74">
        <f t="shared" si="2"/>
        <v>3000000</v>
      </c>
      <c r="H6" s="11"/>
      <c r="I6" s="11"/>
      <c r="J6" s="11"/>
    </row>
    <row r="7" spans="1:10">
      <c r="A7" s="70">
        <v>4</v>
      </c>
      <c r="B7" s="72" t="s">
        <v>61</v>
      </c>
      <c r="C7" s="72">
        <v>4</v>
      </c>
      <c r="D7" s="73">
        <v>1799000</v>
      </c>
      <c r="E7" s="74">
        <f t="shared" si="0"/>
        <v>7196000</v>
      </c>
      <c r="F7" s="74">
        <f t="shared" si="1"/>
        <v>0</v>
      </c>
      <c r="G7" s="74">
        <f t="shared" si="2"/>
        <v>7196000</v>
      </c>
      <c r="H7" s="11"/>
      <c r="I7" s="11"/>
      <c r="J7" s="11"/>
    </row>
    <row r="8" spans="1:10">
      <c r="A8" s="70">
        <v>5</v>
      </c>
      <c r="B8" s="72" t="s">
        <v>63</v>
      </c>
      <c r="C8" s="72">
        <v>2</v>
      </c>
      <c r="D8" s="73">
        <v>6299000</v>
      </c>
      <c r="E8" s="74">
        <f t="shared" si="0"/>
        <v>12598000</v>
      </c>
      <c r="F8" s="74">
        <f t="shared" si="1"/>
        <v>0</v>
      </c>
      <c r="G8" s="74">
        <f t="shared" si="2"/>
        <v>12598000</v>
      </c>
      <c r="H8" s="11"/>
      <c r="I8" s="11"/>
      <c r="J8" s="11"/>
    </row>
    <row r="9" spans="1:10">
      <c r="A9" s="70">
        <v>6</v>
      </c>
      <c r="B9" s="72" t="s">
        <v>74</v>
      </c>
      <c r="C9" s="72">
        <v>2</v>
      </c>
      <c r="D9" s="73">
        <v>3722000</v>
      </c>
      <c r="E9" s="74">
        <f t="shared" si="0"/>
        <v>7444000</v>
      </c>
      <c r="F9" s="74">
        <f t="shared" si="1"/>
        <v>0</v>
      </c>
      <c r="G9" s="74">
        <f t="shared" si="2"/>
        <v>7444000</v>
      </c>
      <c r="H9" s="11"/>
      <c r="I9" s="11"/>
      <c r="J9" s="11"/>
    </row>
    <row r="10" spans="1:10">
      <c r="A10" s="70">
        <v>7</v>
      </c>
      <c r="B10" s="72" t="s">
        <v>75</v>
      </c>
      <c r="C10" s="72">
        <v>1</v>
      </c>
      <c r="D10" s="73">
        <v>1939000</v>
      </c>
      <c r="E10" s="74">
        <f t="shared" si="0"/>
        <v>1939000</v>
      </c>
      <c r="F10" s="74">
        <f t="shared" si="1"/>
        <v>0</v>
      </c>
      <c r="G10" s="74">
        <f t="shared" si="2"/>
        <v>1939000</v>
      </c>
      <c r="H10" s="11"/>
      <c r="I10" s="11"/>
      <c r="J10" s="11"/>
    </row>
    <row r="11" spans="1:10">
      <c r="A11" s="70">
        <v>8</v>
      </c>
      <c r="B11" s="72" t="s">
        <v>76</v>
      </c>
      <c r="C11" s="72">
        <v>5</v>
      </c>
      <c r="D11" s="73">
        <v>3717000</v>
      </c>
      <c r="E11" s="74">
        <f t="shared" si="0"/>
        <v>18585000</v>
      </c>
      <c r="F11" s="74">
        <f t="shared" si="1"/>
        <v>0</v>
      </c>
      <c r="G11" s="74">
        <f t="shared" si="2"/>
        <v>18585000</v>
      </c>
      <c r="H11" s="11"/>
      <c r="I11" s="11"/>
      <c r="J11" s="11"/>
    </row>
    <row r="12" spans="1:10">
      <c r="A12" s="70">
        <v>9</v>
      </c>
      <c r="B12" s="72" t="s">
        <v>77</v>
      </c>
      <c r="C12" s="72">
        <v>3</v>
      </c>
      <c r="D12" s="73">
        <v>1950000</v>
      </c>
      <c r="E12" s="74">
        <f t="shared" si="0"/>
        <v>5850000</v>
      </c>
      <c r="F12" s="74">
        <f t="shared" si="1"/>
        <v>0</v>
      </c>
      <c r="G12" s="74">
        <f t="shared" si="2"/>
        <v>5850000</v>
      </c>
      <c r="H12" s="11"/>
      <c r="I12" s="11"/>
      <c r="J12" s="11"/>
    </row>
    <row r="13" spans="1:10">
      <c r="A13" s="70">
        <v>10</v>
      </c>
      <c r="B13" s="72" t="s">
        <v>78</v>
      </c>
      <c r="C13" s="72">
        <v>1</v>
      </c>
      <c r="D13" s="73">
        <v>11499000</v>
      </c>
      <c r="E13" s="74">
        <f t="shared" si="0"/>
        <v>11499000</v>
      </c>
      <c r="F13" s="74">
        <f t="shared" si="1"/>
        <v>0</v>
      </c>
      <c r="G13" s="74">
        <f t="shared" si="2"/>
        <v>11499000</v>
      </c>
      <c r="H13" s="11"/>
      <c r="I13" s="11"/>
      <c r="J13" s="11"/>
    </row>
    <row r="14" spans="1:10">
      <c r="A14" s="70">
        <v>11</v>
      </c>
      <c r="B14" s="72" t="s">
        <v>79</v>
      </c>
      <c r="C14" s="72">
        <v>2</v>
      </c>
      <c r="D14" s="73">
        <v>3800000</v>
      </c>
      <c r="E14" s="74">
        <f t="shared" si="0"/>
        <v>7600000</v>
      </c>
      <c r="F14" s="74">
        <f t="shared" si="1"/>
        <v>0</v>
      </c>
      <c r="G14" s="74">
        <f t="shared" si="2"/>
        <v>7600000</v>
      </c>
      <c r="H14" s="11"/>
      <c r="I14" s="11"/>
      <c r="J14" s="11"/>
    </row>
    <row r="15" spans="1:10">
      <c r="A15" s="70">
        <v>12</v>
      </c>
      <c r="B15" s="72" t="s">
        <v>80</v>
      </c>
      <c r="C15" s="72">
        <v>4</v>
      </c>
      <c r="D15" s="73">
        <v>5629000</v>
      </c>
      <c r="E15" s="74">
        <f t="shared" si="0"/>
        <v>22516000</v>
      </c>
      <c r="F15" s="74">
        <f t="shared" si="1"/>
        <v>0</v>
      </c>
      <c r="G15" s="74">
        <f t="shared" si="2"/>
        <v>22516000</v>
      </c>
      <c r="H15" s="11"/>
      <c r="I15" s="11"/>
      <c r="J15" s="11"/>
    </row>
    <row r="16" spans="1:10">
      <c r="A16" s="70">
        <v>13</v>
      </c>
      <c r="B16" s="72" t="s">
        <v>81</v>
      </c>
      <c r="C16" s="72">
        <v>2</v>
      </c>
      <c r="D16" s="73">
        <v>3416000</v>
      </c>
      <c r="E16" s="74">
        <f t="shared" si="0"/>
        <v>6832000</v>
      </c>
      <c r="F16" s="74">
        <f t="shared" si="1"/>
        <v>0</v>
      </c>
      <c r="G16" s="74">
        <f t="shared" si="2"/>
        <v>6832000</v>
      </c>
      <c r="H16" s="11"/>
      <c r="I16" s="11"/>
      <c r="J16" s="11"/>
    </row>
    <row r="17" spans="1:10">
      <c r="A17" s="70">
        <v>14</v>
      </c>
      <c r="B17" s="72" t="s">
        <v>82</v>
      </c>
      <c r="C17" s="72">
        <v>3</v>
      </c>
      <c r="D17" s="73">
        <v>6381000</v>
      </c>
      <c r="E17" s="74">
        <f t="shared" si="0"/>
        <v>19143000</v>
      </c>
      <c r="F17" s="74">
        <f t="shared" si="1"/>
        <v>0</v>
      </c>
      <c r="G17" s="74">
        <f t="shared" si="2"/>
        <v>19143000</v>
      </c>
      <c r="H17" s="11"/>
      <c r="I17" s="11"/>
      <c r="J17" s="11"/>
    </row>
    <row r="18" spans="1:10">
      <c r="A18" s="70">
        <v>15</v>
      </c>
      <c r="B18" s="72" t="s">
        <v>83</v>
      </c>
      <c r="C18" s="72">
        <v>1</v>
      </c>
      <c r="D18" s="73">
        <v>5507000</v>
      </c>
      <c r="E18" s="74">
        <f t="shared" si="0"/>
        <v>5507000</v>
      </c>
      <c r="F18" s="74">
        <f t="shared" si="1"/>
        <v>0</v>
      </c>
      <c r="G18" s="74">
        <f t="shared" si="2"/>
        <v>5507000</v>
      </c>
      <c r="H18" s="11"/>
      <c r="I18" s="11"/>
      <c r="J18" s="11"/>
    </row>
    <row r="19" spans="1:10">
      <c r="A19" s="70">
        <v>16</v>
      </c>
      <c r="B19" s="72" t="s">
        <v>84</v>
      </c>
      <c r="C19" s="72">
        <v>3</v>
      </c>
      <c r="D19" s="73">
        <v>5500000</v>
      </c>
      <c r="E19" s="74">
        <f t="shared" si="0"/>
        <v>16500000</v>
      </c>
      <c r="F19" s="74">
        <f t="shared" si="1"/>
        <v>0</v>
      </c>
      <c r="G19" s="74">
        <f t="shared" si="2"/>
        <v>16500000</v>
      </c>
      <c r="H19" s="11"/>
      <c r="I19" s="11"/>
      <c r="J19" s="11"/>
    </row>
    <row r="20" spans="1:10">
      <c r="A20" s="70">
        <v>17</v>
      </c>
      <c r="B20" s="72" t="s">
        <v>85</v>
      </c>
      <c r="C20" s="72">
        <v>5</v>
      </c>
      <c r="D20" s="73">
        <v>7999000</v>
      </c>
      <c r="E20" s="74">
        <f t="shared" si="0"/>
        <v>39995000</v>
      </c>
      <c r="F20" s="74">
        <f t="shared" si="1"/>
        <v>0</v>
      </c>
      <c r="G20" s="74">
        <f t="shared" si="2"/>
        <v>39995000</v>
      </c>
      <c r="H20" s="11"/>
      <c r="I20" s="11"/>
      <c r="J20" s="11"/>
    </row>
    <row r="21" spans="1:10">
      <c r="A21" s="70">
        <v>18</v>
      </c>
      <c r="B21" s="72" t="s">
        <v>86</v>
      </c>
      <c r="C21" s="72">
        <v>1</v>
      </c>
      <c r="D21" s="73">
        <v>2600000</v>
      </c>
      <c r="E21" s="74">
        <f t="shared" si="0"/>
        <v>2600000</v>
      </c>
      <c r="F21" s="74">
        <f t="shared" si="1"/>
        <v>0</v>
      </c>
      <c r="G21" s="74">
        <f t="shared" si="2"/>
        <v>2600000</v>
      </c>
      <c r="H21" s="11"/>
      <c r="I21" s="11"/>
      <c r="J21" s="11"/>
    </row>
    <row r="22" spans="1:10">
      <c r="A22" s="70">
        <v>19</v>
      </c>
      <c r="B22" s="72" t="s">
        <v>87</v>
      </c>
      <c r="C22" s="72">
        <v>2</v>
      </c>
      <c r="D22" s="73">
        <v>3600000</v>
      </c>
      <c r="E22" s="74">
        <f t="shared" si="0"/>
        <v>7200000</v>
      </c>
      <c r="F22" s="74">
        <f t="shared" si="1"/>
        <v>0</v>
      </c>
      <c r="G22" s="74">
        <f t="shared" si="2"/>
        <v>7200000</v>
      </c>
      <c r="H22" s="11"/>
      <c r="I22" s="11"/>
      <c r="J22" s="11"/>
    </row>
    <row r="23" spans="1:10">
      <c r="A23" s="70">
        <v>20</v>
      </c>
      <c r="B23" s="72" t="s">
        <v>88</v>
      </c>
      <c r="C23" s="72">
        <v>4</v>
      </c>
      <c r="D23" s="73">
        <v>18774000</v>
      </c>
      <c r="E23" s="74">
        <f t="shared" si="0"/>
        <v>75096000</v>
      </c>
      <c r="F23" s="74">
        <f t="shared" si="1"/>
        <v>0</v>
      </c>
      <c r="G23" s="74">
        <f t="shared" si="2"/>
        <v>75096000</v>
      </c>
      <c r="H23" s="11"/>
      <c r="I23" s="11"/>
      <c r="J23" s="11"/>
    </row>
    <row r="24" spans="1:10">
      <c r="A24" s="75"/>
      <c r="B24" s="75"/>
      <c r="C24" s="75"/>
      <c r="D24" s="76" t="s">
        <v>64</v>
      </c>
      <c r="E24" s="74">
        <f>SUM(E4:E23)</f>
        <v>302676000</v>
      </c>
      <c r="F24" s="74">
        <f t="shared" si="1"/>
        <v>0</v>
      </c>
      <c r="G24" s="74">
        <f t="shared" si="2"/>
        <v>302676000</v>
      </c>
      <c r="H24" s="11"/>
      <c r="I24" s="11"/>
      <c r="J24" s="11"/>
    </row>
  </sheetData>
  <mergeCells count="3">
    <mergeCell ref="I1:I2"/>
    <mergeCell ref="J1:J2"/>
    <mergeCell ref="A1:G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9"/>
  <sheetViews>
    <sheetView workbookViewId="0">
      <selection activeCell="F17" sqref="F17"/>
    </sheetView>
  </sheetViews>
  <sheetFormatPr defaultColWidth="9.14285714285714" defaultRowHeight="15" outlineLevelCol="4"/>
  <cols>
    <col min="1" max="1" width="8.28571428571429" customWidth="1"/>
    <col min="2" max="2" width="6" customWidth="1"/>
    <col min="4" max="4" width="14.2857142857143" customWidth="1"/>
    <col min="5" max="5" width="4.57142857142857" customWidth="1"/>
  </cols>
  <sheetData>
    <row r="1" spans="1:5">
      <c r="A1" s="65" t="s">
        <v>89</v>
      </c>
      <c r="B1" s="18"/>
      <c r="C1" s="11"/>
      <c r="D1" s="11"/>
      <c r="E1" s="11"/>
    </row>
    <row r="2" spans="1:5">
      <c r="A2" s="61" t="s">
        <v>90</v>
      </c>
      <c r="B2" s="61" t="s">
        <v>91</v>
      </c>
      <c r="C2" s="11"/>
      <c r="D2" s="11"/>
      <c r="E2" s="11"/>
    </row>
    <row r="3" spans="1:5">
      <c r="A3" s="8">
        <v>1</v>
      </c>
      <c r="B3" s="8">
        <v>21</v>
      </c>
      <c r="C3" s="11"/>
      <c r="D3" s="11"/>
      <c r="E3" s="11"/>
    </row>
    <row r="4" spans="1:5">
      <c r="A4" s="8">
        <v>2</v>
      </c>
      <c r="B4" s="8">
        <v>10</v>
      </c>
      <c r="C4" s="11"/>
      <c r="D4" s="11"/>
      <c r="E4" s="11"/>
    </row>
    <row r="5" spans="1:5">
      <c r="A5" s="8">
        <v>3</v>
      </c>
      <c r="B5" s="8">
        <v>16</v>
      </c>
      <c r="C5" s="11"/>
      <c r="D5" s="11"/>
      <c r="E5" s="11"/>
    </row>
    <row r="6" spans="1:5">
      <c r="A6" s="8">
        <v>4</v>
      </c>
      <c r="B6" s="8">
        <v>12</v>
      </c>
      <c r="C6" s="11"/>
      <c r="D6" s="11"/>
      <c r="E6" s="11"/>
    </row>
    <row r="7" spans="1:5">
      <c r="A7" s="8">
        <v>5</v>
      </c>
      <c r="B7" s="8">
        <v>18</v>
      </c>
      <c r="C7" s="11"/>
      <c r="D7" s="66" t="s">
        <v>54</v>
      </c>
      <c r="E7" s="66">
        <f>SUM(B3:B19)</f>
        <v>297</v>
      </c>
    </row>
    <row r="8" spans="1:5">
      <c r="A8" s="8">
        <v>6</v>
      </c>
      <c r="B8" s="8">
        <v>11</v>
      </c>
      <c r="C8" s="11"/>
      <c r="D8" s="11" t="s">
        <v>92</v>
      </c>
      <c r="E8" s="11">
        <f>AVERAGE(B3:B19)</f>
        <v>17.4705882352941</v>
      </c>
    </row>
    <row r="9" spans="1:5">
      <c r="A9" s="8">
        <v>7</v>
      </c>
      <c r="B9" s="8">
        <v>28</v>
      </c>
      <c r="C9" s="11"/>
      <c r="D9" s="11" t="s">
        <v>93</v>
      </c>
      <c r="E9" s="11">
        <f>MIN(B3:B19)</f>
        <v>10</v>
      </c>
    </row>
    <row r="10" spans="1:5">
      <c r="A10" s="8">
        <v>8</v>
      </c>
      <c r="B10" s="8">
        <v>24</v>
      </c>
      <c r="C10" s="11"/>
      <c r="D10" s="11" t="s">
        <v>94</v>
      </c>
      <c r="E10" s="11">
        <f>MAX(B3:B19)</f>
        <v>28</v>
      </c>
    </row>
    <row r="11" spans="1:5">
      <c r="A11" s="8">
        <v>9</v>
      </c>
      <c r="B11" s="8">
        <v>15</v>
      </c>
      <c r="C11" s="11"/>
      <c r="D11" s="11"/>
      <c r="E11" s="11"/>
    </row>
    <row r="12" spans="1:5">
      <c r="A12" s="8">
        <v>10</v>
      </c>
      <c r="B12" s="8">
        <v>13</v>
      </c>
      <c r="C12" s="11"/>
      <c r="D12" s="11"/>
      <c r="E12" s="11"/>
    </row>
    <row r="13" spans="1:5">
      <c r="A13" s="8">
        <v>11</v>
      </c>
      <c r="B13" s="8">
        <v>19</v>
      </c>
      <c r="C13" s="11"/>
      <c r="D13" s="11"/>
      <c r="E13" s="11"/>
    </row>
    <row r="14" spans="1:5">
      <c r="A14" s="8">
        <v>12</v>
      </c>
      <c r="B14" s="8">
        <v>14</v>
      </c>
      <c r="C14" s="11"/>
      <c r="D14" s="11"/>
      <c r="E14" s="11"/>
    </row>
    <row r="15" spans="1:5">
      <c r="A15" s="8">
        <v>13</v>
      </c>
      <c r="B15" s="8">
        <v>17</v>
      </c>
      <c r="C15" s="11"/>
      <c r="D15" s="11"/>
      <c r="E15" s="11"/>
    </row>
    <row r="16" spans="1:5">
      <c r="A16" s="8">
        <v>14</v>
      </c>
      <c r="B16" s="8">
        <v>25</v>
      </c>
      <c r="C16" s="11"/>
      <c r="D16" s="11"/>
      <c r="E16" s="11"/>
    </row>
    <row r="17" spans="1:5">
      <c r="A17" s="8">
        <v>15</v>
      </c>
      <c r="B17" s="8">
        <v>27</v>
      </c>
      <c r="C17" s="11"/>
      <c r="D17" s="11"/>
      <c r="E17" s="11"/>
    </row>
    <row r="18" spans="1:5">
      <c r="A18" s="8">
        <v>16</v>
      </c>
      <c r="B18" s="8">
        <v>16</v>
      </c>
      <c r="C18" s="11"/>
      <c r="D18" s="11"/>
      <c r="E18" s="11"/>
    </row>
    <row r="19" spans="1:5">
      <c r="A19" s="8">
        <v>17</v>
      </c>
      <c r="B19" s="8">
        <v>11</v>
      </c>
      <c r="C19" s="11"/>
      <c r="D19" s="11"/>
      <c r="E19" s="11"/>
    </row>
  </sheetData>
  <mergeCells count="1">
    <mergeCell ref="A1:B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workbookViewId="0">
      <selection activeCell="H9" sqref="H9"/>
    </sheetView>
  </sheetViews>
  <sheetFormatPr defaultColWidth="9.14285714285714" defaultRowHeight="15" outlineLevelCol="5"/>
  <cols>
    <col min="1" max="1" width="9.42857142857143" customWidth="1"/>
    <col min="2" max="2" width="9" customWidth="1"/>
    <col min="4" max="4" width="8.28571428571429" customWidth="1"/>
    <col min="5" max="5" width="6" customWidth="1"/>
    <col min="6" max="6" width="18.7142857142857" customWidth="1"/>
  </cols>
  <sheetData>
    <row r="1" spans="1:6">
      <c r="A1" s="11"/>
      <c r="B1" s="11"/>
      <c r="C1" s="11"/>
      <c r="D1" s="60" t="s">
        <v>89</v>
      </c>
      <c r="E1" s="2"/>
      <c r="F1" s="2"/>
    </row>
    <row r="2" spans="1:6">
      <c r="A2" s="11"/>
      <c r="B2" s="11"/>
      <c r="C2" s="11"/>
      <c r="D2" s="61" t="s">
        <v>90</v>
      </c>
      <c r="E2" s="61" t="s">
        <v>91</v>
      </c>
      <c r="F2" s="61" t="s">
        <v>95</v>
      </c>
    </row>
    <row r="3" spans="1:6">
      <c r="A3" s="11"/>
      <c r="B3" s="11"/>
      <c r="C3" s="11"/>
      <c r="D3" s="8">
        <v>1</v>
      </c>
      <c r="E3" s="8">
        <v>21</v>
      </c>
      <c r="F3" s="9" t="str">
        <f t="shared" ref="F3:F21" si="0">IF(E3&gt;=15,"Tercapai","Gagal")</f>
        <v>Tercapai</v>
      </c>
    </row>
    <row r="4" spans="1:6">
      <c r="A4" s="62" t="s">
        <v>96</v>
      </c>
      <c r="B4" s="63"/>
      <c r="C4" s="11"/>
      <c r="D4" s="8">
        <v>2</v>
      </c>
      <c r="E4" s="8">
        <v>10</v>
      </c>
      <c r="F4" s="9" t="str">
        <f t="shared" si="0"/>
        <v>Gagal</v>
      </c>
    </row>
    <row r="5" spans="1:6">
      <c r="A5" s="64" t="s">
        <v>97</v>
      </c>
      <c r="B5" s="64" t="s">
        <v>98</v>
      </c>
      <c r="C5" s="11"/>
      <c r="D5" s="8">
        <v>3</v>
      </c>
      <c r="E5" s="8">
        <v>16</v>
      </c>
      <c r="F5" s="9" t="str">
        <f t="shared" si="0"/>
        <v>Tercapai</v>
      </c>
    </row>
    <row r="6" spans="1:6">
      <c r="A6" s="64" t="s">
        <v>99</v>
      </c>
      <c r="B6" s="64" t="s">
        <v>100</v>
      </c>
      <c r="C6" s="11"/>
      <c r="D6" s="8">
        <v>4</v>
      </c>
      <c r="E6" s="8">
        <v>12</v>
      </c>
      <c r="F6" s="9" t="str">
        <f t="shared" si="0"/>
        <v>Gagal</v>
      </c>
    </row>
    <row r="7" spans="1:6">
      <c r="A7" s="11"/>
      <c r="B7" s="11"/>
      <c r="C7" s="11"/>
      <c r="D7" s="8">
        <v>5</v>
      </c>
      <c r="E7" s="8">
        <v>18</v>
      </c>
      <c r="F7" s="9" t="str">
        <f t="shared" si="0"/>
        <v>Tercapai</v>
      </c>
    </row>
    <row r="8" spans="1:6">
      <c r="A8" s="11"/>
      <c r="B8" s="11"/>
      <c r="C8" s="11"/>
      <c r="D8" s="8">
        <v>6</v>
      </c>
      <c r="E8" s="8">
        <v>11</v>
      </c>
      <c r="F8" s="9" t="str">
        <f t="shared" si="0"/>
        <v>Gagal</v>
      </c>
    </row>
    <row r="9" spans="1:6">
      <c r="A9" s="11"/>
      <c r="B9" s="11"/>
      <c r="C9" s="11"/>
      <c r="D9" s="8">
        <v>7</v>
      </c>
      <c r="E9" s="8">
        <v>28</v>
      </c>
      <c r="F9" s="9" t="str">
        <f t="shared" si="0"/>
        <v>Tercapai</v>
      </c>
    </row>
    <row r="10" spans="1:6">
      <c r="A10" s="11"/>
      <c r="B10" s="11"/>
      <c r="C10" s="11"/>
      <c r="D10" s="8">
        <v>8</v>
      </c>
      <c r="E10" s="8">
        <v>24</v>
      </c>
      <c r="F10" s="9" t="str">
        <f t="shared" si="0"/>
        <v>Tercapai</v>
      </c>
    </row>
    <row r="11" spans="1:6">
      <c r="A11" s="11"/>
      <c r="B11" s="11"/>
      <c r="C11" s="11"/>
      <c r="D11" s="8">
        <v>9</v>
      </c>
      <c r="E11" s="8">
        <v>15</v>
      </c>
      <c r="F11" s="9" t="str">
        <f t="shared" si="0"/>
        <v>Tercapai</v>
      </c>
    </row>
    <row r="12" spans="1:6">
      <c r="A12" s="11"/>
      <c r="B12" s="11"/>
      <c r="C12" s="11"/>
      <c r="D12" s="8">
        <v>10</v>
      </c>
      <c r="E12" s="8">
        <v>13</v>
      </c>
      <c r="F12" s="9" t="str">
        <f t="shared" si="0"/>
        <v>Gagal</v>
      </c>
    </row>
    <row r="13" spans="1:6">
      <c r="A13" s="11"/>
      <c r="B13" s="11"/>
      <c r="C13" s="11"/>
      <c r="D13" s="8">
        <v>11</v>
      </c>
      <c r="E13" s="8">
        <v>19</v>
      </c>
      <c r="F13" s="9" t="str">
        <f t="shared" si="0"/>
        <v>Tercapai</v>
      </c>
    </row>
    <row r="14" spans="1:6">
      <c r="A14" s="11"/>
      <c r="B14" s="11"/>
      <c r="C14" s="11"/>
      <c r="D14" s="8">
        <v>12</v>
      </c>
      <c r="E14" s="8">
        <v>14</v>
      </c>
      <c r="F14" s="9" t="str">
        <f t="shared" si="0"/>
        <v>Gagal</v>
      </c>
    </row>
    <row r="15" spans="1:6">
      <c r="A15" s="11"/>
      <c r="B15" s="11"/>
      <c r="C15" s="11"/>
      <c r="D15" s="8">
        <v>13</v>
      </c>
      <c r="E15" s="8">
        <v>17</v>
      </c>
      <c r="F15" s="9" t="str">
        <f t="shared" si="0"/>
        <v>Tercapai</v>
      </c>
    </row>
    <row r="16" spans="1:6">
      <c r="A16" s="11"/>
      <c r="B16" s="11"/>
      <c r="C16" s="11"/>
      <c r="D16" s="8">
        <v>14</v>
      </c>
      <c r="E16" s="8">
        <v>25</v>
      </c>
      <c r="F16" s="9" t="str">
        <f t="shared" si="0"/>
        <v>Tercapai</v>
      </c>
    </row>
    <row r="17" spans="1:6">
      <c r="A17" s="11"/>
      <c r="B17" s="11"/>
      <c r="C17" s="11"/>
      <c r="D17" s="8">
        <v>15</v>
      </c>
      <c r="E17" s="8">
        <v>27</v>
      </c>
      <c r="F17" s="9" t="str">
        <f t="shared" si="0"/>
        <v>Tercapai</v>
      </c>
    </row>
    <row r="18" spans="1:6">
      <c r="A18" s="11"/>
      <c r="B18" s="11"/>
      <c r="C18" s="11"/>
      <c r="D18" s="8">
        <v>16</v>
      </c>
      <c r="E18" s="8">
        <v>16</v>
      </c>
      <c r="F18" s="9" t="str">
        <f t="shared" si="0"/>
        <v>Tercapai</v>
      </c>
    </row>
    <row r="19" spans="1:6">
      <c r="A19" s="11"/>
      <c r="B19" s="11"/>
      <c r="C19" s="11"/>
      <c r="D19" s="8">
        <v>17</v>
      </c>
      <c r="E19" s="8">
        <v>11</v>
      </c>
      <c r="F19" s="9" t="str">
        <f t="shared" si="0"/>
        <v>Gagal</v>
      </c>
    </row>
    <row r="20" spans="1:6">
      <c r="A20" s="11"/>
      <c r="B20" s="11"/>
      <c r="C20" s="11"/>
      <c r="D20" s="8">
        <v>18</v>
      </c>
      <c r="E20" s="8">
        <v>18</v>
      </c>
      <c r="F20" s="9" t="str">
        <f t="shared" si="0"/>
        <v>Tercapai</v>
      </c>
    </row>
    <row r="21" spans="1:6">
      <c r="A21" s="11"/>
      <c r="B21" s="11"/>
      <c r="C21" s="11"/>
      <c r="D21" s="8">
        <v>19</v>
      </c>
      <c r="E21" s="8">
        <v>15</v>
      </c>
      <c r="F21" s="9" t="str">
        <f t="shared" si="0"/>
        <v>Tercapai</v>
      </c>
    </row>
  </sheetData>
  <mergeCells count="2">
    <mergeCell ref="D1:F1"/>
    <mergeCell ref="A4:B4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"/>
  <sheetViews>
    <sheetView workbookViewId="0">
      <selection activeCell="G13" sqref="G13"/>
    </sheetView>
  </sheetViews>
  <sheetFormatPr defaultColWidth="9.14285714285714" defaultRowHeight="15" outlineLevelCol="6"/>
  <cols>
    <col min="1" max="1" width="4.42857142857143" customWidth="1"/>
    <col min="2" max="2" width="38.4285714285714" customWidth="1"/>
    <col min="3" max="3" width="8.71428571428571" customWidth="1"/>
    <col min="5" max="5" width="25.2857142857143" customWidth="1"/>
    <col min="7" max="7" width="23.1428571428571" customWidth="1"/>
  </cols>
  <sheetData>
    <row r="1" spans="1:7">
      <c r="A1" s="54" t="s">
        <v>101</v>
      </c>
      <c r="B1" s="54" t="s">
        <v>102</v>
      </c>
      <c r="C1" s="55" t="s">
        <v>103</v>
      </c>
      <c r="D1" s="11"/>
      <c r="E1" s="56" t="s">
        <v>104</v>
      </c>
      <c r="F1" s="11"/>
      <c r="G1" s="57" t="s">
        <v>105</v>
      </c>
    </row>
    <row r="2" spans="1:7">
      <c r="A2" s="9">
        <v>1</v>
      </c>
      <c r="B2" s="9" t="s">
        <v>106</v>
      </c>
      <c r="C2" s="16">
        <v>45</v>
      </c>
      <c r="D2" s="11"/>
      <c r="E2" s="58">
        <f>SUMIF($B$2:$B$21,"*MACBOOK*",$C$2:$C$21)</f>
        <v>151</v>
      </c>
      <c r="F2" s="11"/>
      <c r="G2" s="58">
        <f>SUMIF($B$2:$B$21,"*LENOVO*",$C$2:$C$21)</f>
        <v>125</v>
      </c>
    </row>
    <row r="3" spans="1:7">
      <c r="A3" s="9">
        <v>2</v>
      </c>
      <c r="B3" s="9" t="s">
        <v>107</v>
      </c>
      <c r="C3" s="16">
        <v>73</v>
      </c>
      <c r="D3" s="11"/>
      <c r="E3" s="11"/>
      <c r="F3" s="11"/>
      <c r="G3" s="11"/>
    </row>
    <row r="4" spans="1:7">
      <c r="A4" s="9">
        <v>3</v>
      </c>
      <c r="B4" s="9" t="s">
        <v>108</v>
      </c>
      <c r="C4" s="16">
        <v>49</v>
      </c>
      <c r="D4" s="11"/>
      <c r="E4" s="11"/>
      <c r="F4" s="11"/>
      <c r="G4" s="11"/>
    </row>
    <row r="5" spans="1:7">
      <c r="A5" s="9">
        <v>4</v>
      </c>
      <c r="B5" s="9" t="s">
        <v>109</v>
      </c>
      <c r="C5" s="16">
        <v>24</v>
      </c>
      <c r="D5" s="11"/>
      <c r="E5" s="11"/>
      <c r="F5" s="11"/>
      <c r="G5" s="11"/>
    </row>
    <row r="6" spans="1:7">
      <c r="A6" s="9">
        <v>5</v>
      </c>
      <c r="B6" s="9" t="s">
        <v>110</v>
      </c>
      <c r="C6" s="16">
        <v>64</v>
      </c>
      <c r="D6" s="11"/>
      <c r="E6" s="11"/>
      <c r="F6" s="11"/>
      <c r="G6" s="11"/>
    </row>
    <row r="7" spans="1:7">
      <c r="A7" s="9">
        <v>6</v>
      </c>
      <c r="B7" s="9" t="s">
        <v>111</v>
      </c>
      <c r="C7" s="16">
        <v>35</v>
      </c>
      <c r="D7" s="11"/>
      <c r="E7" s="59" t="s">
        <v>112</v>
      </c>
      <c r="F7" s="11"/>
      <c r="G7" s="11"/>
    </row>
    <row r="8" spans="1:7">
      <c r="A8" s="9">
        <v>7</v>
      </c>
      <c r="B8" s="9" t="s">
        <v>113</v>
      </c>
      <c r="C8" s="16">
        <v>64</v>
      </c>
      <c r="D8" s="11"/>
      <c r="E8" s="33">
        <f>SUMIF($B$2:$B$21,"*asus*",$C$2:$C$21)</f>
        <v>345</v>
      </c>
      <c r="F8" s="11"/>
      <c r="G8" s="11"/>
    </row>
    <row r="9" spans="1:7">
      <c r="A9" s="9">
        <v>8</v>
      </c>
      <c r="B9" s="9" t="s">
        <v>114</v>
      </c>
      <c r="C9" s="16">
        <v>55</v>
      </c>
      <c r="D9" s="11"/>
      <c r="E9" s="11"/>
      <c r="F9" s="11"/>
      <c r="G9" s="11"/>
    </row>
    <row r="10" spans="1:7">
      <c r="A10" s="9">
        <v>9</v>
      </c>
      <c r="B10" s="9" t="s">
        <v>115</v>
      </c>
      <c r="C10" s="16">
        <v>59</v>
      </c>
      <c r="D10" s="11"/>
      <c r="E10" s="11"/>
      <c r="F10" s="11"/>
      <c r="G10" s="11"/>
    </row>
    <row r="11" spans="1:7">
      <c r="A11" s="9">
        <v>10</v>
      </c>
      <c r="B11" s="9" t="s">
        <v>116</v>
      </c>
      <c r="C11" s="16">
        <v>29</v>
      </c>
      <c r="D11" s="11"/>
      <c r="E11" s="11"/>
      <c r="F11" s="11"/>
      <c r="G11" s="11"/>
    </row>
    <row r="12" spans="1:7">
      <c r="A12" s="9">
        <v>11</v>
      </c>
      <c r="B12" s="9" t="s">
        <v>117</v>
      </c>
      <c r="C12" s="16">
        <v>36</v>
      </c>
      <c r="D12" s="11"/>
      <c r="E12" s="11"/>
      <c r="F12" s="11"/>
      <c r="G12" s="11"/>
    </row>
    <row r="13" spans="1:7">
      <c r="A13" s="9">
        <v>12</v>
      </c>
      <c r="B13" s="9" t="s">
        <v>118</v>
      </c>
      <c r="C13" s="16">
        <v>63</v>
      </c>
      <c r="D13" s="11"/>
      <c r="E13" s="11"/>
      <c r="F13" s="11"/>
      <c r="G13" s="11"/>
    </row>
    <row r="14" spans="1:7">
      <c r="A14" s="9">
        <v>13</v>
      </c>
      <c r="B14" s="9" t="s">
        <v>119</v>
      </c>
      <c r="C14" s="16">
        <v>26</v>
      </c>
      <c r="D14" s="11"/>
      <c r="E14" s="11"/>
      <c r="F14" s="11"/>
      <c r="G14" s="11"/>
    </row>
    <row r="15" spans="1:7">
      <c r="A15" s="9">
        <v>14</v>
      </c>
      <c r="B15" s="9" t="s">
        <v>120</v>
      </c>
      <c r="C15" s="16">
        <v>19</v>
      </c>
      <c r="D15" s="11"/>
      <c r="E15" s="11"/>
      <c r="F15" s="11"/>
      <c r="G15" s="11"/>
    </row>
    <row r="16" spans="1:7">
      <c r="A16" s="9">
        <v>15</v>
      </c>
      <c r="B16" s="9" t="s">
        <v>113</v>
      </c>
      <c r="C16" s="16">
        <v>46</v>
      </c>
      <c r="D16" s="11"/>
      <c r="E16" s="11"/>
      <c r="F16" s="11"/>
      <c r="G16" s="11"/>
    </row>
    <row r="17" spans="1:7">
      <c r="A17" s="9">
        <v>16</v>
      </c>
      <c r="B17" s="9" t="s">
        <v>121</v>
      </c>
      <c r="C17" s="16">
        <v>27</v>
      </c>
      <c r="D17" s="11"/>
      <c r="E17" s="11"/>
      <c r="F17" s="11"/>
      <c r="G17" s="11"/>
    </row>
    <row r="18" spans="1:7">
      <c r="A18" s="9">
        <v>17</v>
      </c>
      <c r="B18" s="9" t="s">
        <v>122</v>
      </c>
      <c r="C18" s="16">
        <v>73</v>
      </c>
      <c r="D18" s="11"/>
      <c r="E18" s="11"/>
      <c r="F18" s="11"/>
      <c r="G18" s="11"/>
    </row>
    <row r="19" spans="1:7">
      <c r="A19" s="9">
        <v>18</v>
      </c>
      <c r="B19" s="9" t="s">
        <v>123</v>
      </c>
      <c r="C19" s="16">
        <v>63</v>
      </c>
      <c r="D19" s="11"/>
      <c r="E19" s="11"/>
      <c r="F19" s="11"/>
      <c r="G19" s="11"/>
    </row>
    <row r="20" spans="1:7">
      <c r="A20" s="9">
        <v>19</v>
      </c>
      <c r="B20" s="9" t="s">
        <v>124</v>
      </c>
      <c r="C20" s="16">
        <v>62</v>
      </c>
      <c r="D20" s="11"/>
      <c r="E20" s="11"/>
      <c r="F20" s="11"/>
      <c r="G20" s="11"/>
    </row>
    <row r="21" spans="1:7">
      <c r="A21" s="9">
        <v>20</v>
      </c>
      <c r="B21" s="9" t="s">
        <v>125</v>
      </c>
      <c r="C21" s="16">
        <v>81</v>
      </c>
      <c r="D21" s="11"/>
      <c r="E21" s="11"/>
      <c r="F21" s="11"/>
      <c r="G21" s="11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7"/>
  <sheetViews>
    <sheetView workbookViewId="0">
      <selection activeCell="I26" sqref="I26"/>
    </sheetView>
  </sheetViews>
  <sheetFormatPr defaultColWidth="9.14285714285714" defaultRowHeight="15" outlineLevelCol="2"/>
  <cols>
    <col min="1" max="1" width="4.14285714285714" customWidth="1"/>
    <col min="2" max="2" width="12.2857142857143" customWidth="1"/>
    <col min="3" max="3" width="5.85714285714286" customWidth="1"/>
  </cols>
  <sheetData>
    <row r="1" spans="1:3">
      <c r="A1" s="53" t="s">
        <v>52</v>
      </c>
      <c r="B1" s="53" t="s">
        <v>126</v>
      </c>
      <c r="C1" s="53" t="s">
        <v>6</v>
      </c>
    </row>
    <row r="2" spans="1:3">
      <c r="A2" s="9">
        <v>1</v>
      </c>
      <c r="B2" s="103" t="s">
        <v>127</v>
      </c>
      <c r="C2" s="9">
        <f>EVEN(6)</f>
        <v>6</v>
      </c>
    </row>
    <row r="3" spans="1:3">
      <c r="A3" s="9">
        <v>2</v>
      </c>
      <c r="B3" s="103" t="s">
        <v>128</v>
      </c>
      <c r="C3" s="9">
        <f>EVEN(3)</f>
        <v>4</v>
      </c>
    </row>
    <row r="4" spans="1:3">
      <c r="A4" s="9">
        <v>3</v>
      </c>
      <c r="B4" s="103" t="s">
        <v>129</v>
      </c>
      <c r="C4" s="9">
        <f>EVEN(7.1)</f>
        <v>8</v>
      </c>
    </row>
    <row r="5" spans="1:3">
      <c r="A5" s="9">
        <v>4</v>
      </c>
      <c r="B5" s="103" t="s">
        <v>130</v>
      </c>
      <c r="C5" s="9">
        <f>EVEN(2.4)</f>
        <v>4</v>
      </c>
    </row>
    <row r="6" spans="1:3">
      <c r="A6" s="9">
        <v>5</v>
      </c>
      <c r="B6" s="103" t="s">
        <v>131</v>
      </c>
      <c r="C6" s="9">
        <f>EVEN(-6)</f>
        <v>-6</v>
      </c>
    </row>
    <row r="7" spans="1:3">
      <c r="A7" s="9">
        <v>6</v>
      </c>
      <c r="B7" s="103" t="s">
        <v>132</v>
      </c>
      <c r="C7" s="9">
        <f>EVEN(-3)</f>
        <v>-4</v>
      </c>
    </row>
    <row r="8" spans="1:3">
      <c r="A8" s="9">
        <v>7</v>
      </c>
      <c r="B8" s="103" t="s">
        <v>133</v>
      </c>
      <c r="C8" s="9">
        <f>EVEN(-7.1)</f>
        <v>-8</v>
      </c>
    </row>
    <row r="9" spans="1:3">
      <c r="A9" s="9">
        <v>8</v>
      </c>
      <c r="B9" s="103" t="s">
        <v>134</v>
      </c>
      <c r="C9" s="9">
        <f>EVEN(-2.4)</f>
        <v>-4</v>
      </c>
    </row>
    <row r="10" spans="1:3">
      <c r="A10" s="9">
        <v>9</v>
      </c>
      <c r="B10" s="103" t="s">
        <v>135</v>
      </c>
      <c r="C10" s="9">
        <f t="shared" ref="C10:C17" si="0">EVEN(F2)</f>
        <v>0</v>
      </c>
    </row>
    <row r="11" spans="1:3">
      <c r="A11" s="9">
        <v>10</v>
      </c>
      <c r="B11" s="103" t="s">
        <v>136</v>
      </c>
      <c r="C11" s="9">
        <f t="shared" si="0"/>
        <v>0</v>
      </c>
    </row>
    <row r="12" spans="1:3">
      <c r="A12" s="9">
        <v>11</v>
      </c>
      <c r="B12" s="103" t="s">
        <v>137</v>
      </c>
      <c r="C12" s="9">
        <f t="shared" si="0"/>
        <v>0</v>
      </c>
    </row>
    <row r="13" spans="1:3">
      <c r="A13" s="9">
        <v>12</v>
      </c>
      <c r="B13" s="103" t="s">
        <v>138</v>
      </c>
      <c r="C13" s="9">
        <f t="shared" si="0"/>
        <v>0</v>
      </c>
    </row>
    <row r="14" spans="1:3">
      <c r="A14" s="9">
        <v>13</v>
      </c>
      <c r="B14" s="103" t="s">
        <v>139</v>
      </c>
      <c r="C14" s="9">
        <f t="shared" si="0"/>
        <v>0</v>
      </c>
    </row>
    <row r="15" spans="1:3">
      <c r="A15" s="9">
        <v>14</v>
      </c>
      <c r="B15" s="103" t="s">
        <v>140</v>
      </c>
      <c r="C15" s="9">
        <f t="shared" si="0"/>
        <v>0</v>
      </c>
    </row>
    <row r="16" spans="1:3">
      <c r="A16" s="9">
        <v>15</v>
      </c>
      <c r="B16" s="103" t="s">
        <v>141</v>
      </c>
      <c r="C16" s="9">
        <f t="shared" si="0"/>
        <v>0</v>
      </c>
    </row>
    <row r="17" spans="1:3">
      <c r="A17" s="9">
        <v>16</v>
      </c>
      <c r="B17" s="103" t="s">
        <v>142</v>
      </c>
      <c r="C17" s="9">
        <f t="shared" si="0"/>
        <v>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5"/>
  <sheetViews>
    <sheetView workbookViewId="0">
      <selection activeCell="A27" sqref="A27"/>
    </sheetView>
  </sheetViews>
  <sheetFormatPr defaultColWidth="9.14285714285714" defaultRowHeight="15"/>
  <cols>
    <col min="1" max="1" width="4.14285714285714" customWidth="1"/>
    <col min="2" max="2" width="15.7142857142857" customWidth="1"/>
    <col min="3" max="3" width="24.5714285714286" customWidth="1"/>
    <col min="4" max="4" width="21.1428571428571" customWidth="1"/>
    <col min="5" max="5" width="13.5714285714286" customWidth="1"/>
    <col min="6" max="6" width="9" customWidth="1"/>
    <col min="7" max="7" width="8.28571428571429" customWidth="1"/>
    <col min="8" max="11" width="11.7142857142857" customWidth="1"/>
    <col min="12" max="12" width="10.5714285714286" customWidth="1"/>
    <col min="13" max="13" width="11.7142857142857" customWidth="1"/>
    <col min="16" max="16" width="17.7142857142857" customWidth="1"/>
    <col min="17" max="17" width="21.1428571428571" customWidth="1"/>
    <col min="18" max="18" width="16.5714285714286" customWidth="1"/>
    <col min="19" max="19" width="18.2857142857143" customWidth="1"/>
    <col min="20" max="20" width="11.7142857142857" customWidth="1"/>
    <col min="21" max="21" width="17.2857142857143" customWidth="1"/>
  </cols>
  <sheetData>
    <row r="1" spans="1:21">
      <c r="A1" s="24" t="s">
        <v>143</v>
      </c>
      <c r="B1" s="24"/>
      <c r="C1" s="24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21">
      <c r="A2" s="24" t="s">
        <v>144</v>
      </c>
      <c r="B2" s="24"/>
      <c r="C2" s="24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</row>
    <row r="3" spans="1:21">
      <c r="A3" s="24" t="s">
        <v>145</v>
      </c>
      <c r="B3" s="24"/>
      <c r="C3" s="24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</row>
    <row r="4" spans="1:21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</row>
    <row r="5" ht="45" spans="1:21">
      <c r="A5" s="25" t="s">
        <v>52</v>
      </c>
      <c r="B5" s="26" t="s">
        <v>146</v>
      </c>
      <c r="C5" s="26" t="s">
        <v>147</v>
      </c>
      <c r="D5" s="26" t="s">
        <v>148</v>
      </c>
      <c r="E5" s="27" t="s">
        <v>149</v>
      </c>
      <c r="F5" s="27" t="s">
        <v>150</v>
      </c>
      <c r="G5" s="27" t="s">
        <v>151</v>
      </c>
      <c r="H5" s="27" t="s">
        <v>152</v>
      </c>
      <c r="I5" s="27" t="s">
        <v>153</v>
      </c>
      <c r="J5" s="27" t="s">
        <v>154</v>
      </c>
      <c r="K5" s="27" t="s">
        <v>155</v>
      </c>
      <c r="L5" s="26" t="s">
        <v>156</v>
      </c>
      <c r="M5" s="28" t="s">
        <v>157</v>
      </c>
      <c r="N5" s="11"/>
      <c r="O5" s="11"/>
      <c r="P5" s="11"/>
      <c r="Q5" s="11"/>
      <c r="R5" s="11"/>
      <c r="S5" s="11"/>
      <c r="T5" s="11"/>
      <c r="U5" s="11"/>
    </row>
    <row r="6" spans="1:21">
      <c r="A6" s="29">
        <v>1</v>
      </c>
      <c r="B6" s="30" t="s">
        <v>158</v>
      </c>
      <c r="C6" s="30" t="s">
        <v>159</v>
      </c>
      <c r="D6" s="31" t="str">
        <f t="shared" ref="D6:D20" si="0">IF(MID(B6,2,1)="D","Direktur",IF(MID(B6,2,1)="M","Manager",IF(MID(B6,2,1)="S","Sales Marketing",IF(MID(B6,2,1)="Q","Quality Control",IF(MID(B6,2,1)="P","Petugas Pengisi BBM")))))</f>
        <v>Direktur</v>
      </c>
      <c r="E6" s="32" t="str">
        <f t="shared" ref="E6:E20" si="1">IF(MID(B6,1,1)="N","Kawin",IF(MID(B6,1,1)="J","Belum Kawin"))</f>
        <v>Kawin</v>
      </c>
      <c r="F6" s="33">
        <v>900</v>
      </c>
      <c r="G6" s="34">
        <f t="shared" ref="G6:G20" si="2">IF(OR(D6="Direktur",D6="Manager"),F6-880,F6-1040)</f>
        <v>20</v>
      </c>
      <c r="H6" s="35">
        <f t="shared" ref="H6:H20" si="3">VLOOKUP(D6,$Q$13:$U$18,3,0)</f>
        <v>10000000</v>
      </c>
      <c r="I6" s="35">
        <f t="shared" ref="I6:I20" si="4">VLOOKUP(D6,$Q$13:$U$18,4,0)</f>
        <v>15000000</v>
      </c>
      <c r="J6" s="35">
        <f t="shared" ref="J6:J20" si="5">VLOOKUP(D6,$Q$13:$U$18,5,0)*G6</f>
        <v>30000000</v>
      </c>
      <c r="K6" s="36">
        <f t="shared" ref="K6:K20" si="6">SUM(H6:J6)</f>
        <v>55000000</v>
      </c>
      <c r="L6" s="36">
        <f t="shared" ref="L6:L20" si="7">K6*10%</f>
        <v>5500000</v>
      </c>
      <c r="M6" s="37">
        <f t="shared" ref="M6:M20" si="8">K6-L6</f>
        <v>49500000</v>
      </c>
      <c r="N6" s="11"/>
      <c r="O6" s="11"/>
      <c r="P6" s="38" t="s">
        <v>160</v>
      </c>
      <c r="Q6" s="11"/>
      <c r="R6" s="11"/>
      <c r="S6" s="11"/>
      <c r="T6" s="11"/>
      <c r="U6" s="11"/>
    </row>
    <row r="7" spans="1:21">
      <c r="A7" s="29">
        <v>2</v>
      </c>
      <c r="B7" s="30" t="s">
        <v>161</v>
      </c>
      <c r="C7" s="30" t="s">
        <v>162</v>
      </c>
      <c r="D7" s="31" t="str">
        <f t="shared" si="0"/>
        <v>Manager</v>
      </c>
      <c r="E7" s="32" t="str">
        <f t="shared" si="1"/>
        <v>Belum Kawin</v>
      </c>
      <c r="F7" s="33">
        <v>900</v>
      </c>
      <c r="G7" s="34">
        <f t="shared" si="2"/>
        <v>20</v>
      </c>
      <c r="H7" s="35">
        <f t="shared" si="3"/>
        <v>7500000</v>
      </c>
      <c r="I7" s="35">
        <f t="shared" si="4"/>
        <v>10000000</v>
      </c>
      <c r="J7" s="35">
        <f t="shared" si="5"/>
        <v>20000000</v>
      </c>
      <c r="K7" s="36">
        <f t="shared" si="6"/>
        <v>37500000</v>
      </c>
      <c r="L7" s="36">
        <f t="shared" si="7"/>
        <v>3750000</v>
      </c>
      <c r="M7" s="37">
        <f t="shared" si="8"/>
        <v>33750000</v>
      </c>
      <c r="N7" s="11"/>
      <c r="O7" s="11"/>
      <c r="P7" s="11"/>
      <c r="Q7" s="11"/>
      <c r="R7" s="11"/>
      <c r="S7" s="11"/>
      <c r="T7" s="11"/>
      <c r="U7" s="11"/>
    </row>
    <row r="8" spans="1:21">
      <c r="A8" s="29">
        <v>3</v>
      </c>
      <c r="B8" s="30" t="s">
        <v>163</v>
      </c>
      <c r="C8" s="30" t="s">
        <v>164</v>
      </c>
      <c r="D8" s="31" t="str">
        <f t="shared" si="0"/>
        <v>Sales Marketing</v>
      </c>
      <c r="E8" s="32" t="str">
        <f t="shared" si="1"/>
        <v>Kawin</v>
      </c>
      <c r="F8" s="33">
        <v>1060</v>
      </c>
      <c r="G8" s="34">
        <f t="shared" si="2"/>
        <v>20</v>
      </c>
      <c r="H8" s="35">
        <f t="shared" si="3"/>
        <v>2500000</v>
      </c>
      <c r="I8" s="35">
        <f t="shared" si="4"/>
        <v>7500000</v>
      </c>
      <c r="J8" s="35">
        <f t="shared" si="5"/>
        <v>10000000</v>
      </c>
      <c r="K8" s="36">
        <f t="shared" si="6"/>
        <v>20000000</v>
      </c>
      <c r="L8" s="36">
        <f t="shared" si="7"/>
        <v>2000000</v>
      </c>
      <c r="M8" s="37">
        <f t="shared" si="8"/>
        <v>18000000</v>
      </c>
      <c r="N8" s="11"/>
      <c r="O8" s="11"/>
      <c r="P8" s="9" t="s">
        <v>165</v>
      </c>
      <c r="Q8" s="9" t="s">
        <v>149</v>
      </c>
      <c r="R8" s="11"/>
      <c r="S8" s="11"/>
      <c r="T8" s="11"/>
      <c r="U8" s="11"/>
    </row>
    <row r="9" spans="1:21">
      <c r="A9" s="29">
        <v>4</v>
      </c>
      <c r="B9" s="30" t="s">
        <v>166</v>
      </c>
      <c r="C9" s="30" t="s">
        <v>167</v>
      </c>
      <c r="D9" s="31" t="str">
        <f t="shared" si="0"/>
        <v>Sales Marketing</v>
      </c>
      <c r="E9" s="32" t="str">
        <f t="shared" si="1"/>
        <v>Kawin</v>
      </c>
      <c r="F9" s="33">
        <v>1050</v>
      </c>
      <c r="G9" s="34">
        <f t="shared" si="2"/>
        <v>10</v>
      </c>
      <c r="H9" s="35">
        <f t="shared" si="3"/>
        <v>2500000</v>
      </c>
      <c r="I9" s="35">
        <f t="shared" si="4"/>
        <v>7500000</v>
      </c>
      <c r="J9" s="35">
        <f t="shared" si="5"/>
        <v>5000000</v>
      </c>
      <c r="K9" s="36">
        <f t="shared" si="6"/>
        <v>15000000</v>
      </c>
      <c r="L9" s="36">
        <f t="shared" si="7"/>
        <v>1500000</v>
      </c>
      <c r="M9" s="37">
        <f t="shared" si="8"/>
        <v>13500000</v>
      </c>
      <c r="N9" s="11"/>
      <c r="O9" s="11"/>
      <c r="P9" s="16" t="s">
        <v>168</v>
      </c>
      <c r="Q9" s="9" t="s">
        <v>169</v>
      </c>
      <c r="R9" s="11"/>
      <c r="S9" s="11"/>
      <c r="T9" s="11"/>
      <c r="U9" s="11"/>
    </row>
    <row r="10" spans="1:21">
      <c r="A10" s="29">
        <v>5</v>
      </c>
      <c r="B10" s="30" t="s">
        <v>170</v>
      </c>
      <c r="C10" s="30" t="s">
        <v>171</v>
      </c>
      <c r="D10" s="31" t="str">
        <f t="shared" si="0"/>
        <v>Quality Control</v>
      </c>
      <c r="E10" s="32" t="str">
        <f t="shared" si="1"/>
        <v>Kawin</v>
      </c>
      <c r="F10" s="33">
        <v>1070</v>
      </c>
      <c r="G10" s="34">
        <f t="shared" si="2"/>
        <v>30</v>
      </c>
      <c r="H10" s="35">
        <f t="shared" si="3"/>
        <v>3000000</v>
      </c>
      <c r="I10" s="35">
        <f t="shared" si="4"/>
        <v>6000000</v>
      </c>
      <c r="J10" s="35">
        <f t="shared" si="5"/>
        <v>7500000</v>
      </c>
      <c r="K10" s="36">
        <f t="shared" si="6"/>
        <v>16500000</v>
      </c>
      <c r="L10" s="36">
        <f t="shared" si="7"/>
        <v>1650000</v>
      </c>
      <c r="M10" s="37">
        <f t="shared" si="8"/>
        <v>14850000</v>
      </c>
      <c r="N10" s="11"/>
      <c r="O10" s="11"/>
      <c r="P10" s="16" t="s">
        <v>172</v>
      </c>
      <c r="Q10" s="9" t="s">
        <v>173</v>
      </c>
      <c r="R10" s="11"/>
      <c r="S10" s="11"/>
      <c r="T10" s="11"/>
      <c r="U10" s="11"/>
    </row>
    <row r="11" spans="1:21">
      <c r="A11" s="29">
        <v>6</v>
      </c>
      <c r="B11" s="30" t="s">
        <v>174</v>
      </c>
      <c r="C11" s="30" t="s">
        <v>175</v>
      </c>
      <c r="D11" s="31" t="str">
        <f t="shared" si="0"/>
        <v>Quality Control</v>
      </c>
      <c r="E11" s="32" t="str">
        <f t="shared" si="1"/>
        <v>Kawin</v>
      </c>
      <c r="F11" s="33">
        <v>1060</v>
      </c>
      <c r="G11" s="34">
        <f t="shared" si="2"/>
        <v>20</v>
      </c>
      <c r="H11" s="35">
        <f t="shared" si="3"/>
        <v>3000000</v>
      </c>
      <c r="I11" s="35">
        <f t="shared" si="4"/>
        <v>6000000</v>
      </c>
      <c r="J11" s="35">
        <f t="shared" si="5"/>
        <v>5000000</v>
      </c>
      <c r="K11" s="36">
        <f t="shared" si="6"/>
        <v>14000000</v>
      </c>
      <c r="L11" s="36">
        <f t="shared" si="7"/>
        <v>1400000</v>
      </c>
      <c r="M11" s="37">
        <f t="shared" si="8"/>
        <v>12600000</v>
      </c>
      <c r="N11" s="11"/>
      <c r="O11" s="11"/>
      <c r="P11" s="11"/>
      <c r="Q11" s="11"/>
      <c r="R11" s="11"/>
      <c r="S11" s="11"/>
      <c r="T11" s="11"/>
      <c r="U11" s="11"/>
    </row>
    <row r="12" spans="1:21">
      <c r="A12" s="29">
        <v>7</v>
      </c>
      <c r="B12" s="30" t="s">
        <v>176</v>
      </c>
      <c r="C12" s="30" t="s">
        <v>177</v>
      </c>
      <c r="D12" s="31" t="str">
        <f t="shared" si="0"/>
        <v>Petugas Pengisi BBM</v>
      </c>
      <c r="E12" s="32" t="str">
        <f t="shared" si="1"/>
        <v>Belum Kawin</v>
      </c>
      <c r="F12" s="33">
        <v>1065</v>
      </c>
      <c r="G12" s="34">
        <f t="shared" si="2"/>
        <v>25</v>
      </c>
      <c r="H12" s="35">
        <f t="shared" si="3"/>
        <v>1500000</v>
      </c>
      <c r="I12" s="35">
        <f t="shared" si="4"/>
        <v>4500000</v>
      </c>
      <c r="J12" s="35">
        <f t="shared" si="5"/>
        <v>5000000</v>
      </c>
      <c r="K12" s="36">
        <f t="shared" si="6"/>
        <v>11000000</v>
      </c>
      <c r="L12" s="36">
        <f t="shared" si="7"/>
        <v>1100000</v>
      </c>
      <c r="M12" s="37">
        <f t="shared" si="8"/>
        <v>9900000</v>
      </c>
      <c r="N12" s="11"/>
      <c r="O12" s="11"/>
      <c r="P12" s="9" t="s">
        <v>178</v>
      </c>
      <c r="Q12" s="9" t="s">
        <v>148</v>
      </c>
      <c r="R12" s="9" t="s">
        <v>179</v>
      </c>
      <c r="S12" s="9" t="s">
        <v>152</v>
      </c>
      <c r="T12" s="9" t="s">
        <v>153</v>
      </c>
      <c r="U12" s="9" t="s">
        <v>180</v>
      </c>
    </row>
    <row r="13" spans="1:21">
      <c r="A13" s="29">
        <v>8</v>
      </c>
      <c r="B13" s="30" t="s">
        <v>181</v>
      </c>
      <c r="C13" s="30" t="s">
        <v>182</v>
      </c>
      <c r="D13" s="31" t="str">
        <f t="shared" si="0"/>
        <v>Petugas Pengisi BBM</v>
      </c>
      <c r="E13" s="32" t="str">
        <f t="shared" si="1"/>
        <v>Belum Kawin</v>
      </c>
      <c r="F13" s="33">
        <v>1050</v>
      </c>
      <c r="G13" s="34">
        <f t="shared" si="2"/>
        <v>10</v>
      </c>
      <c r="H13" s="35">
        <f t="shared" si="3"/>
        <v>1500000</v>
      </c>
      <c r="I13" s="35">
        <f t="shared" si="4"/>
        <v>4500000</v>
      </c>
      <c r="J13" s="35">
        <f t="shared" si="5"/>
        <v>2000000</v>
      </c>
      <c r="K13" s="36">
        <f t="shared" si="6"/>
        <v>8000000</v>
      </c>
      <c r="L13" s="36">
        <f t="shared" si="7"/>
        <v>800000</v>
      </c>
      <c r="M13" s="37">
        <f t="shared" si="8"/>
        <v>7200000</v>
      </c>
      <c r="N13" s="11"/>
      <c r="O13" s="11"/>
      <c r="P13" s="16" t="s">
        <v>183</v>
      </c>
      <c r="Q13" s="9" t="s">
        <v>184</v>
      </c>
      <c r="R13" s="9">
        <v>880</v>
      </c>
      <c r="S13" s="10">
        <v>10000000</v>
      </c>
      <c r="T13" s="10">
        <v>15000000</v>
      </c>
      <c r="U13" s="10">
        <v>1500000</v>
      </c>
    </row>
    <row r="14" spans="1:21">
      <c r="A14" s="29">
        <v>9</v>
      </c>
      <c r="B14" s="30" t="s">
        <v>185</v>
      </c>
      <c r="C14" s="30" t="s">
        <v>186</v>
      </c>
      <c r="D14" s="31" t="str">
        <f t="shared" si="0"/>
        <v>Petugas Pengisi BBM</v>
      </c>
      <c r="E14" s="32" t="str">
        <f t="shared" si="1"/>
        <v>Kawin</v>
      </c>
      <c r="F14" s="33">
        <v>1045</v>
      </c>
      <c r="G14" s="34">
        <f t="shared" si="2"/>
        <v>5</v>
      </c>
      <c r="H14" s="35">
        <f t="shared" si="3"/>
        <v>1500000</v>
      </c>
      <c r="I14" s="35">
        <f t="shared" si="4"/>
        <v>4500000</v>
      </c>
      <c r="J14" s="35">
        <f t="shared" si="5"/>
        <v>1000000</v>
      </c>
      <c r="K14" s="36">
        <f t="shared" si="6"/>
        <v>7000000</v>
      </c>
      <c r="L14" s="36">
        <f t="shared" si="7"/>
        <v>700000</v>
      </c>
      <c r="M14" s="37">
        <f t="shared" si="8"/>
        <v>6300000</v>
      </c>
      <c r="N14" s="11"/>
      <c r="O14" s="11"/>
      <c r="P14" s="16" t="s">
        <v>187</v>
      </c>
      <c r="Q14" s="9" t="s">
        <v>188</v>
      </c>
      <c r="R14" s="9">
        <v>880</v>
      </c>
      <c r="S14" s="10">
        <v>7500000</v>
      </c>
      <c r="T14" s="10">
        <v>10000000</v>
      </c>
      <c r="U14" s="10">
        <v>1000000</v>
      </c>
    </row>
    <row r="15" spans="1:21">
      <c r="A15" s="29">
        <v>10</v>
      </c>
      <c r="B15" s="30" t="s">
        <v>189</v>
      </c>
      <c r="C15" s="30" t="s">
        <v>190</v>
      </c>
      <c r="D15" s="31" t="str">
        <f t="shared" si="0"/>
        <v>Sales Marketing</v>
      </c>
      <c r="E15" s="32" t="str">
        <f t="shared" si="1"/>
        <v>Belum Kawin</v>
      </c>
      <c r="F15" s="33">
        <v>1055</v>
      </c>
      <c r="G15" s="34">
        <f t="shared" si="2"/>
        <v>15</v>
      </c>
      <c r="H15" s="35">
        <f t="shared" si="3"/>
        <v>2500000</v>
      </c>
      <c r="I15" s="35">
        <f t="shared" si="4"/>
        <v>7500000</v>
      </c>
      <c r="J15" s="35">
        <f t="shared" si="5"/>
        <v>7500000</v>
      </c>
      <c r="K15" s="36">
        <f t="shared" si="6"/>
        <v>17500000</v>
      </c>
      <c r="L15" s="36">
        <f t="shared" si="7"/>
        <v>1750000</v>
      </c>
      <c r="M15" s="37">
        <f t="shared" si="8"/>
        <v>15750000</v>
      </c>
      <c r="N15" s="11"/>
      <c r="O15" s="11"/>
      <c r="P15" s="16" t="s">
        <v>191</v>
      </c>
      <c r="Q15" s="9" t="s">
        <v>192</v>
      </c>
      <c r="R15" s="9">
        <v>1040</v>
      </c>
      <c r="S15" s="10">
        <v>2500000</v>
      </c>
      <c r="T15" s="10">
        <v>7500000</v>
      </c>
      <c r="U15" s="10">
        <v>500000</v>
      </c>
    </row>
    <row r="16" spans="1:21">
      <c r="A16" s="29">
        <v>11</v>
      </c>
      <c r="B16" s="30" t="s">
        <v>193</v>
      </c>
      <c r="C16" s="30" t="s">
        <v>194</v>
      </c>
      <c r="D16" s="31" t="str">
        <f t="shared" si="0"/>
        <v>Sales Marketing</v>
      </c>
      <c r="E16" s="32" t="str">
        <f t="shared" si="1"/>
        <v>Kawin</v>
      </c>
      <c r="F16" s="33">
        <v>1043</v>
      </c>
      <c r="G16" s="34">
        <f t="shared" si="2"/>
        <v>3</v>
      </c>
      <c r="H16" s="35">
        <f t="shared" si="3"/>
        <v>2500000</v>
      </c>
      <c r="I16" s="35">
        <f t="shared" si="4"/>
        <v>7500000</v>
      </c>
      <c r="J16" s="35">
        <f t="shared" si="5"/>
        <v>1500000</v>
      </c>
      <c r="K16" s="36">
        <f t="shared" si="6"/>
        <v>11500000</v>
      </c>
      <c r="L16" s="36">
        <f t="shared" si="7"/>
        <v>1150000</v>
      </c>
      <c r="M16" s="37">
        <f t="shared" si="8"/>
        <v>10350000</v>
      </c>
      <c r="N16" s="11"/>
      <c r="O16" s="11"/>
      <c r="P16" s="16" t="s">
        <v>195</v>
      </c>
      <c r="Q16" s="9" t="s">
        <v>196</v>
      </c>
      <c r="R16" s="9">
        <v>1040</v>
      </c>
      <c r="S16" s="10">
        <v>3000000</v>
      </c>
      <c r="T16" s="10">
        <v>6000000</v>
      </c>
      <c r="U16" s="10">
        <v>250000</v>
      </c>
    </row>
    <row r="17" spans="1:21">
      <c r="A17" s="29">
        <v>12</v>
      </c>
      <c r="B17" s="30" t="s">
        <v>197</v>
      </c>
      <c r="C17" s="30" t="s">
        <v>198</v>
      </c>
      <c r="D17" s="31" t="str">
        <f t="shared" si="0"/>
        <v>Petugas Pengisi BBM</v>
      </c>
      <c r="E17" s="32" t="str">
        <f t="shared" si="1"/>
        <v>Kawin</v>
      </c>
      <c r="F17" s="33">
        <v>1048</v>
      </c>
      <c r="G17" s="34">
        <f t="shared" si="2"/>
        <v>8</v>
      </c>
      <c r="H17" s="35">
        <f t="shared" si="3"/>
        <v>1500000</v>
      </c>
      <c r="I17" s="35">
        <f t="shared" si="4"/>
        <v>4500000</v>
      </c>
      <c r="J17" s="35">
        <f t="shared" si="5"/>
        <v>1600000</v>
      </c>
      <c r="K17" s="36">
        <f t="shared" si="6"/>
        <v>7600000</v>
      </c>
      <c r="L17" s="36">
        <f t="shared" si="7"/>
        <v>760000</v>
      </c>
      <c r="M17" s="37">
        <f t="shared" si="8"/>
        <v>6840000</v>
      </c>
      <c r="N17" s="11"/>
      <c r="O17" s="11"/>
      <c r="P17" s="16" t="s">
        <v>199</v>
      </c>
      <c r="Q17" s="9" t="s">
        <v>200</v>
      </c>
      <c r="R17" s="9">
        <v>1040</v>
      </c>
      <c r="S17" s="10">
        <v>1500000</v>
      </c>
      <c r="T17" s="10">
        <v>4500000</v>
      </c>
      <c r="U17" s="10">
        <v>200000</v>
      </c>
    </row>
    <row r="18" spans="1:21">
      <c r="A18" s="29">
        <v>13</v>
      </c>
      <c r="B18" s="30" t="s">
        <v>201</v>
      </c>
      <c r="C18" s="30" t="s">
        <v>202</v>
      </c>
      <c r="D18" s="31" t="str">
        <f t="shared" si="0"/>
        <v>Quality Control</v>
      </c>
      <c r="E18" s="32" t="str">
        <f t="shared" si="1"/>
        <v>Kawin</v>
      </c>
      <c r="F18" s="33">
        <v>1080</v>
      </c>
      <c r="G18" s="34">
        <f t="shared" si="2"/>
        <v>40</v>
      </c>
      <c r="H18" s="35">
        <f t="shared" si="3"/>
        <v>3000000</v>
      </c>
      <c r="I18" s="35">
        <f t="shared" si="4"/>
        <v>6000000</v>
      </c>
      <c r="J18" s="35">
        <f t="shared" si="5"/>
        <v>10000000</v>
      </c>
      <c r="K18" s="36">
        <f t="shared" si="6"/>
        <v>19000000</v>
      </c>
      <c r="L18" s="36">
        <f t="shared" si="7"/>
        <v>1900000</v>
      </c>
      <c r="M18" s="37">
        <f t="shared" si="8"/>
        <v>17100000</v>
      </c>
      <c r="N18" s="11"/>
      <c r="O18" s="11"/>
      <c r="P18" s="11"/>
      <c r="Q18" s="11"/>
      <c r="R18" s="11"/>
      <c r="S18" s="11"/>
      <c r="T18" s="11"/>
      <c r="U18" s="11"/>
    </row>
    <row r="19" spans="1:21">
      <c r="A19" s="29">
        <v>14</v>
      </c>
      <c r="B19" s="30" t="s">
        <v>203</v>
      </c>
      <c r="C19" s="30" t="s">
        <v>204</v>
      </c>
      <c r="D19" s="31" t="str">
        <f t="shared" si="0"/>
        <v>Quality Control</v>
      </c>
      <c r="E19" s="32" t="str">
        <f t="shared" si="1"/>
        <v>Belum Kawin</v>
      </c>
      <c r="F19" s="33">
        <v>1078</v>
      </c>
      <c r="G19" s="34">
        <f t="shared" si="2"/>
        <v>38</v>
      </c>
      <c r="H19" s="35">
        <f t="shared" si="3"/>
        <v>3000000</v>
      </c>
      <c r="I19" s="35">
        <f t="shared" si="4"/>
        <v>6000000</v>
      </c>
      <c r="J19" s="35">
        <f t="shared" si="5"/>
        <v>9500000</v>
      </c>
      <c r="K19" s="36">
        <f t="shared" si="6"/>
        <v>18500000</v>
      </c>
      <c r="L19" s="36">
        <f t="shared" si="7"/>
        <v>1850000</v>
      </c>
      <c r="M19" s="37">
        <f t="shared" si="8"/>
        <v>16650000</v>
      </c>
      <c r="N19" s="11"/>
      <c r="O19" s="11"/>
      <c r="P19" s="11"/>
      <c r="Q19" s="11"/>
      <c r="R19" s="11"/>
      <c r="S19" s="11"/>
      <c r="T19" s="11"/>
      <c r="U19" s="11"/>
    </row>
    <row r="20" spans="1:21">
      <c r="A20" s="39">
        <v>15</v>
      </c>
      <c r="B20" s="40" t="s">
        <v>205</v>
      </c>
      <c r="C20" s="40" t="s">
        <v>206</v>
      </c>
      <c r="D20" s="41" t="str">
        <f t="shared" si="0"/>
        <v>Petugas Pengisi BBM</v>
      </c>
      <c r="E20" s="42" t="str">
        <f t="shared" si="1"/>
        <v>Kawin</v>
      </c>
      <c r="F20" s="43">
        <v>1065</v>
      </c>
      <c r="G20" s="44">
        <f t="shared" si="2"/>
        <v>25</v>
      </c>
      <c r="H20" s="45">
        <f t="shared" si="3"/>
        <v>1500000</v>
      </c>
      <c r="I20" s="45">
        <f t="shared" si="4"/>
        <v>4500000</v>
      </c>
      <c r="J20" s="45">
        <f t="shared" si="5"/>
        <v>5000000</v>
      </c>
      <c r="K20" s="46">
        <f t="shared" si="6"/>
        <v>11000000</v>
      </c>
      <c r="L20" s="46">
        <f t="shared" si="7"/>
        <v>1100000</v>
      </c>
      <c r="M20" s="47">
        <f t="shared" si="8"/>
        <v>9900000</v>
      </c>
      <c r="N20" s="11"/>
      <c r="O20" s="11"/>
      <c r="P20" s="11"/>
      <c r="Q20" s="11"/>
      <c r="R20" s="11"/>
      <c r="S20" s="11"/>
      <c r="T20" s="11"/>
      <c r="U20" s="11"/>
    </row>
    <row r="21" spans="1:21">
      <c r="A21" s="48"/>
      <c r="B21" s="49"/>
      <c r="C21" s="49"/>
      <c r="D21" s="49"/>
      <c r="E21" s="49"/>
      <c r="F21" s="48"/>
      <c r="G21" s="49"/>
      <c r="H21" s="49"/>
      <c r="I21" s="49"/>
      <c r="J21" s="49"/>
      <c r="K21" s="49"/>
      <c r="L21" s="49"/>
      <c r="M21" s="49"/>
      <c r="N21" s="11"/>
      <c r="O21" s="11"/>
      <c r="P21" s="11"/>
      <c r="Q21" s="11"/>
      <c r="R21" s="11"/>
      <c r="S21" s="11"/>
      <c r="T21" s="11"/>
      <c r="U21" s="11"/>
    </row>
    <row r="22" spans="1:21">
      <c r="A22" s="50" t="s">
        <v>207</v>
      </c>
      <c r="B22" s="51"/>
      <c r="C22" s="52"/>
      <c r="D22" s="35">
        <f>SUM(Table1[Total Gaji Neto])</f>
        <v>242190000</v>
      </c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</row>
    <row r="23" spans="1:21">
      <c r="A23" s="50" t="s">
        <v>208</v>
      </c>
      <c r="B23" s="51"/>
      <c r="C23" s="52"/>
      <c r="D23" s="35">
        <f>AVERAGE(Table1[Total Gaji Neto])</f>
        <v>16146000</v>
      </c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</row>
    <row r="24" spans="1:21">
      <c r="A24" s="50" t="s">
        <v>209</v>
      </c>
      <c r="B24" s="51"/>
      <c r="C24" s="52"/>
      <c r="D24" s="35">
        <f>MAX(Table1[Total Gaji Neto])</f>
        <v>49500000</v>
      </c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</row>
    <row r="25" spans="1:21">
      <c r="A25" s="50" t="s">
        <v>210</v>
      </c>
      <c r="B25" s="51"/>
      <c r="C25" s="52"/>
      <c r="D25" s="35">
        <f>MIN(Table1[Total Gaji Neto])</f>
        <v>6300000</v>
      </c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</row>
  </sheetData>
  <mergeCells count="8">
    <mergeCell ref="A1:C1"/>
    <mergeCell ref="A2:C2"/>
    <mergeCell ref="A3:C3"/>
    <mergeCell ref="A22:C22"/>
    <mergeCell ref="A23:C23"/>
    <mergeCell ref="A24:C24"/>
    <mergeCell ref="A25:C25"/>
    <mergeCell ref="P6:Q7"/>
  </mergeCells>
  <pageMargins left="0.75" right="0.75" top="1" bottom="1" header="0.5" footer="0.5"/>
  <headerFooter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8"/>
  <sheetViews>
    <sheetView workbookViewId="0">
      <selection activeCell="G3" sqref="G3"/>
    </sheetView>
  </sheetViews>
  <sheetFormatPr defaultColWidth="9.14285714285714" defaultRowHeight="15" outlineLevelRow="7" outlineLevelCol="3"/>
  <cols>
    <col min="1" max="1" width="4.14285714285714" customWidth="1"/>
    <col min="2" max="2" width="16.5714285714286" customWidth="1"/>
    <col min="3" max="3" width="14.7142857142857" customWidth="1"/>
    <col min="4" max="4" width="20.8571428571429" customWidth="1"/>
  </cols>
  <sheetData>
    <row r="1" spans="1:4">
      <c r="A1" s="17" t="s">
        <v>211</v>
      </c>
      <c r="B1" s="2"/>
      <c r="C1" s="2"/>
      <c r="D1" s="2"/>
    </row>
    <row r="2" spans="1:4">
      <c r="A2" s="18"/>
      <c r="B2" s="18"/>
      <c r="C2" s="18"/>
      <c r="D2" s="18"/>
    </row>
    <row r="3" spans="1:4">
      <c r="A3" s="19" t="s">
        <v>52</v>
      </c>
      <c r="B3" s="20" t="s">
        <v>212</v>
      </c>
      <c r="C3" s="19" t="s">
        <v>213</v>
      </c>
      <c r="D3" s="21" t="s">
        <v>214</v>
      </c>
    </row>
    <row r="4" spans="1:4">
      <c r="A4" s="9">
        <v>1</v>
      </c>
      <c r="B4" s="22">
        <v>45125</v>
      </c>
      <c r="C4" s="16">
        <v>1</v>
      </c>
      <c r="D4" s="23">
        <f t="shared" ref="D4:D8" si="0">EDATE(B4,C4)</f>
        <v>45156</v>
      </c>
    </row>
    <row r="5" spans="1:4">
      <c r="A5" s="9">
        <v>2</v>
      </c>
      <c r="B5" s="22">
        <v>44972</v>
      </c>
      <c r="C5" s="16">
        <v>3</v>
      </c>
      <c r="D5" s="23">
        <f t="shared" si="0"/>
        <v>45061</v>
      </c>
    </row>
    <row r="6" spans="1:4">
      <c r="A6" s="9">
        <v>3</v>
      </c>
      <c r="B6" s="22">
        <v>45080</v>
      </c>
      <c r="C6" s="16">
        <v>5</v>
      </c>
      <c r="D6" s="23">
        <f t="shared" si="0"/>
        <v>45233</v>
      </c>
    </row>
    <row r="7" spans="1:4">
      <c r="A7" s="9">
        <v>4</v>
      </c>
      <c r="B7" s="22">
        <v>45051</v>
      </c>
      <c r="C7" s="16">
        <v>-2</v>
      </c>
      <c r="D7" s="23">
        <f t="shared" si="0"/>
        <v>44990</v>
      </c>
    </row>
    <row r="8" spans="1:4">
      <c r="A8" s="9">
        <v>5</v>
      </c>
      <c r="B8" s="22">
        <v>45028</v>
      </c>
      <c r="C8" s="16">
        <v>-4</v>
      </c>
      <c r="D8" s="23">
        <f t="shared" si="0"/>
        <v>44907</v>
      </c>
    </row>
  </sheetData>
  <mergeCells count="1">
    <mergeCell ref="A1:D2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0"/>
  <sheetViews>
    <sheetView tabSelected="1" workbookViewId="0">
      <selection activeCell="G19" sqref="G19"/>
    </sheetView>
  </sheetViews>
  <sheetFormatPr defaultColWidth="9.14285714285714" defaultRowHeight="15"/>
  <cols>
    <col min="1" max="1" width="4.14285714285714" customWidth="1"/>
    <col min="2" max="2" width="17.2857142857143" customWidth="1"/>
    <col min="3" max="3" width="9.42857142857143" customWidth="1"/>
    <col min="4" max="12" width="8" customWidth="1"/>
  </cols>
  <sheetData>
    <row r="1" spans="1:12">
      <c r="A1" s="1" t="s">
        <v>215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>
      <c r="A3" s="3" t="s">
        <v>52</v>
      </c>
      <c r="B3" s="3" t="s">
        <v>216</v>
      </c>
      <c r="C3" s="4" t="s">
        <v>217</v>
      </c>
      <c r="D3" s="5"/>
      <c r="E3" s="5"/>
      <c r="F3" s="5"/>
      <c r="G3" s="5"/>
      <c r="H3" s="5"/>
      <c r="I3" s="5"/>
      <c r="J3" s="5"/>
      <c r="K3" s="5"/>
      <c r="L3" s="6"/>
    </row>
    <row r="4" spans="1:12">
      <c r="A4" s="7"/>
      <c r="B4" s="7"/>
      <c r="C4" s="8" t="s">
        <v>218</v>
      </c>
      <c r="D4" s="8" t="s">
        <v>219</v>
      </c>
      <c r="E4" s="8" t="s">
        <v>220</v>
      </c>
      <c r="F4" s="8" t="s">
        <v>221</v>
      </c>
      <c r="G4" s="8" t="s">
        <v>222</v>
      </c>
      <c r="H4" s="8" t="s">
        <v>223</v>
      </c>
      <c r="I4" s="8" t="s">
        <v>224</v>
      </c>
      <c r="J4" s="8" t="s">
        <v>225</v>
      </c>
      <c r="K4" s="8" t="s">
        <v>226</v>
      </c>
      <c r="L4" s="8" t="s">
        <v>227</v>
      </c>
    </row>
    <row r="5" spans="1:12">
      <c r="A5" s="9">
        <v>1</v>
      </c>
      <c r="B5" s="9" t="s">
        <v>228</v>
      </c>
      <c r="C5" s="10">
        <v>2999</v>
      </c>
      <c r="D5" s="10">
        <v>2850</v>
      </c>
      <c r="E5" s="10">
        <v>2885</v>
      </c>
      <c r="F5" s="10">
        <v>3000</v>
      </c>
      <c r="G5" s="10">
        <v>2786</v>
      </c>
      <c r="H5" s="10">
        <v>2970</v>
      </c>
      <c r="I5" s="10">
        <v>2897</v>
      </c>
      <c r="J5" s="10">
        <v>2790</v>
      </c>
      <c r="K5" s="10">
        <v>2865</v>
      </c>
      <c r="L5" s="10">
        <v>2788</v>
      </c>
    </row>
    <row r="6" spans="1:12">
      <c r="A6" s="9">
        <v>2</v>
      </c>
      <c r="B6" s="9" t="s">
        <v>229</v>
      </c>
      <c r="C6" s="10">
        <v>3532</v>
      </c>
      <c r="D6" s="10">
        <v>3465</v>
      </c>
      <c r="E6" s="10">
        <v>3632</v>
      </c>
      <c r="F6" s="10">
        <v>3723</v>
      </c>
      <c r="G6" s="10">
        <v>3812</v>
      </c>
      <c r="H6" s="10">
        <v>3467</v>
      </c>
      <c r="I6" s="10">
        <v>3754</v>
      </c>
      <c r="J6" s="10">
        <v>3464</v>
      </c>
      <c r="K6" s="10">
        <v>3576</v>
      </c>
      <c r="L6" s="10">
        <v>3647</v>
      </c>
    </row>
    <row r="7" spans="1:12">
      <c r="A7" s="9">
        <v>3</v>
      </c>
      <c r="B7" s="9" t="s">
        <v>230</v>
      </c>
      <c r="C7" s="10">
        <v>4053</v>
      </c>
      <c r="D7" s="10">
        <v>4061</v>
      </c>
      <c r="E7" s="10">
        <v>4589</v>
      </c>
      <c r="F7" s="10">
        <v>4328</v>
      </c>
      <c r="G7" s="10">
        <v>4172</v>
      </c>
      <c r="H7" s="10">
        <v>4265</v>
      </c>
      <c r="I7" s="10">
        <v>4379</v>
      </c>
      <c r="J7" s="10">
        <v>4176</v>
      </c>
      <c r="K7" s="10">
        <v>4279</v>
      </c>
      <c r="L7" s="10">
        <v>4359</v>
      </c>
    </row>
    <row r="8" spans="1:12">
      <c r="A8" s="9">
        <v>4</v>
      </c>
      <c r="B8" s="9" t="s">
        <v>231</v>
      </c>
      <c r="C8" s="10">
        <v>21687</v>
      </c>
      <c r="D8" s="10">
        <v>21546</v>
      </c>
      <c r="E8" s="10">
        <v>21678</v>
      </c>
      <c r="F8" s="10">
        <v>21810</v>
      </c>
      <c r="G8" s="10">
        <v>21545</v>
      </c>
      <c r="H8" s="10">
        <v>21554</v>
      </c>
      <c r="I8" s="10">
        <v>21651</v>
      </c>
      <c r="J8" s="10">
        <v>21734</v>
      </c>
      <c r="K8" s="10">
        <v>21698</v>
      </c>
      <c r="L8" s="10">
        <v>21598</v>
      </c>
    </row>
    <row r="9" spans="1:12">
      <c r="A9" s="9">
        <v>5</v>
      </c>
      <c r="B9" s="9" t="s">
        <v>232</v>
      </c>
      <c r="C9" s="10">
        <v>15678</v>
      </c>
      <c r="D9" s="10">
        <v>14987</v>
      </c>
      <c r="E9" s="10">
        <v>15143</v>
      </c>
      <c r="F9" s="10">
        <v>15234</v>
      </c>
      <c r="G9" s="10">
        <v>15728</v>
      </c>
      <c r="H9" s="10">
        <v>14613</v>
      </c>
      <c r="I9" s="10">
        <v>16132</v>
      </c>
      <c r="J9" s="10">
        <v>14754</v>
      </c>
      <c r="K9" s="10">
        <v>14611</v>
      </c>
      <c r="L9" s="10">
        <v>14616</v>
      </c>
    </row>
    <row r="10" spans="1:12">
      <c r="A10" s="11"/>
      <c r="B10" s="11"/>
      <c r="C10" s="12"/>
      <c r="D10" s="12"/>
      <c r="E10" s="12"/>
      <c r="F10" s="12"/>
      <c r="G10" s="12"/>
      <c r="H10" s="12"/>
      <c r="I10" s="12"/>
      <c r="J10" s="12"/>
      <c r="K10" s="12"/>
      <c r="L10" s="12"/>
    </row>
    <row r="11" spans="1:12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 s="12"/>
    </row>
    <row r="12" spans="1:12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 s="12"/>
    </row>
    <row r="13" spans="1:12">
      <c r="A13" s="13" t="s">
        <v>233</v>
      </c>
      <c r="B13" s="14"/>
      <c r="C13" s="14"/>
      <c r="D13" s="14"/>
      <c r="E13" s="12"/>
      <c r="F13" s="12"/>
      <c r="G13" s="12"/>
      <c r="H13" s="12"/>
      <c r="I13" s="12"/>
      <c r="J13" s="12"/>
      <c r="K13" s="12"/>
      <c r="L13" s="12"/>
    </row>
    <row r="14" spans="1:12">
      <c r="A14" s="14"/>
      <c r="B14" s="14"/>
      <c r="C14" s="14"/>
      <c r="D14" s="14"/>
      <c r="E14" s="12"/>
      <c r="F14" s="12"/>
      <c r="G14" s="12"/>
      <c r="H14" s="12"/>
      <c r="I14" s="12"/>
      <c r="J14" s="12"/>
      <c r="K14" s="12"/>
      <c r="L14" s="12"/>
    </row>
    <row r="15" spans="1:12">
      <c r="A15" s="8" t="s">
        <v>52</v>
      </c>
      <c r="B15" s="8" t="s">
        <v>216</v>
      </c>
      <c r="C15" s="15" t="s">
        <v>234</v>
      </c>
      <c r="D15" s="15" t="s">
        <v>56</v>
      </c>
      <c r="E15" s="12"/>
      <c r="F15" s="12"/>
      <c r="G15" s="12"/>
      <c r="H15" s="12"/>
      <c r="I15" s="12"/>
      <c r="J15" s="12"/>
      <c r="K15" s="12"/>
      <c r="L15" s="12"/>
    </row>
    <row r="16" spans="1:12">
      <c r="A16" s="16">
        <v>1</v>
      </c>
      <c r="B16" s="9" t="s">
        <v>228</v>
      </c>
      <c r="C16" s="16">
        <f t="shared" ref="C16:C20" si="0">INDEX($D$5:$M$5,MATCH(D16,C5:L5,0))</f>
        <v>2970</v>
      </c>
      <c r="D16" s="10">
        <f t="shared" ref="D16:D20" si="1">MIN(C5:L5)</f>
        <v>2786</v>
      </c>
      <c r="E16" s="12"/>
      <c r="F16" s="12"/>
      <c r="G16" s="12"/>
      <c r="H16" s="12"/>
      <c r="I16" s="12"/>
      <c r="J16" s="12"/>
      <c r="K16" s="12"/>
      <c r="L16" s="12"/>
    </row>
    <row r="17" spans="1:12">
      <c r="A17" s="16">
        <v>2</v>
      </c>
      <c r="B17" s="9" t="s">
        <v>229</v>
      </c>
      <c r="C17" s="16">
        <f t="shared" si="0"/>
        <v>2865</v>
      </c>
      <c r="D17" s="10">
        <f t="shared" si="1"/>
        <v>3464</v>
      </c>
      <c r="E17" s="11"/>
      <c r="F17" s="11"/>
      <c r="G17" s="11"/>
      <c r="H17" s="11"/>
      <c r="I17" s="11"/>
      <c r="J17" s="11"/>
      <c r="K17" s="11"/>
      <c r="L17" s="11"/>
    </row>
    <row r="18" spans="1:12">
      <c r="A18" s="16">
        <v>3</v>
      </c>
      <c r="B18" s="9" t="s">
        <v>230</v>
      </c>
      <c r="C18" s="16">
        <f t="shared" si="0"/>
        <v>2850</v>
      </c>
      <c r="D18" s="10">
        <f t="shared" si="1"/>
        <v>4053</v>
      </c>
      <c r="E18" s="11"/>
      <c r="F18" s="11"/>
      <c r="G18" s="11"/>
      <c r="H18" s="11"/>
      <c r="I18" s="11"/>
      <c r="J18" s="11"/>
      <c r="K18" s="11"/>
      <c r="L18" s="11"/>
    </row>
    <row r="19" spans="1:12">
      <c r="A19" s="16">
        <v>4</v>
      </c>
      <c r="B19" s="9" t="s">
        <v>231</v>
      </c>
      <c r="C19" s="16">
        <f t="shared" si="0"/>
        <v>2970</v>
      </c>
      <c r="D19" s="10">
        <f t="shared" si="1"/>
        <v>21545</v>
      </c>
      <c r="E19" s="11"/>
      <c r="F19" s="11"/>
      <c r="G19" s="11"/>
      <c r="H19" s="11"/>
      <c r="I19" s="11"/>
      <c r="J19" s="11"/>
      <c r="K19" s="11"/>
      <c r="L19" s="11"/>
    </row>
    <row r="20" spans="1:12">
      <c r="A20" s="16">
        <v>5</v>
      </c>
      <c r="B20" s="9" t="s">
        <v>232</v>
      </c>
      <c r="C20" s="16">
        <f t="shared" si="0"/>
        <v>2788</v>
      </c>
      <c r="D20" s="10">
        <f t="shared" si="1"/>
        <v>14611</v>
      </c>
      <c r="E20" s="11"/>
      <c r="F20" s="11"/>
      <c r="G20" s="11"/>
      <c r="H20" s="11"/>
      <c r="I20" s="11"/>
      <c r="J20" s="11"/>
      <c r="K20" s="11"/>
      <c r="L20" s="11"/>
    </row>
  </sheetData>
  <mergeCells count="5">
    <mergeCell ref="C3:L3"/>
    <mergeCell ref="A3:A4"/>
    <mergeCell ref="B3:B4"/>
    <mergeCell ref="A1:L2"/>
    <mergeCell ref="A13:D1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1. Operator</vt:lpstr>
      <vt:lpstr>2. Keuntungan</vt:lpstr>
      <vt:lpstr>3. Diskon</vt:lpstr>
      <vt:lpstr>4. Sum</vt:lpstr>
      <vt:lpstr>5. If</vt:lpstr>
      <vt:lpstr>6. Total Penjualan dengan If</vt:lpstr>
      <vt:lpstr>7. Pembulatan</vt:lpstr>
      <vt:lpstr>8. Gaji</vt:lpstr>
      <vt:lpstr>9. Jatuh Tempo</vt:lpstr>
      <vt:lpstr>10. Supplier - latihan 54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Zen Zen</cp:lastModifiedBy>
  <dcterms:created xsi:type="dcterms:W3CDTF">2023-06-30T14:08:00Z</dcterms:created>
  <dcterms:modified xsi:type="dcterms:W3CDTF">2026-08-05T03:08:32Z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